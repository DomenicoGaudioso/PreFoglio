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codeName="Questa_cartella_di_lavoro" defaultThemeVersion="166925"/>
  <mc:AlternateContent xmlns:mc="http://schemas.openxmlformats.org/markup-compatibility/2006">
    <mc:Choice Requires="x15">
      <x15ac:absPath xmlns:x15ac="http://schemas.microsoft.com/office/spreadsheetml/2010/11/ac" url="Z:\tools\script_ToPreFoglio\Validazione\01_Alfonsine_EST\"/>
    </mc:Choice>
  </mc:AlternateContent>
  <xr:revisionPtr revIDLastSave="0" documentId="13_ncr:1_{2998425F-C665-494A-93EA-67A0C16AD31C}" xr6:coauthVersionLast="47" xr6:coauthVersionMax="47" xr10:uidLastSave="{00000000-0000-0000-0000-000000000000}"/>
  <bookViews>
    <workbookView xWindow="-120" yWindow="-120" windowWidth="29040" windowHeight="15720" activeTab="2" xr2:uid="{F76B0BC7-07DE-453E-83E1-6905864799A0}"/>
  </bookViews>
  <sheets>
    <sheet name="Variecose" sheetId="8" r:id="rId1"/>
    <sheet name="Gaudicose" sheetId="9" r:id="rId2"/>
    <sheet name="Delta" sheetId="10"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G45" i="10" l="1"/>
  <c r="I45" i="10"/>
  <c r="K45" i="10"/>
  <c r="M45" i="10"/>
  <c r="O45" i="10"/>
  <c r="Q45" i="10"/>
  <c r="S45" i="10"/>
  <c r="U45" i="10"/>
  <c r="W45" i="10"/>
  <c r="Y45" i="10"/>
  <c r="F46" i="10"/>
  <c r="G46" i="10"/>
  <c r="H46" i="10"/>
  <c r="I46" i="10"/>
  <c r="J46" i="10"/>
  <c r="K46" i="10"/>
  <c r="L46" i="10"/>
  <c r="M46" i="10"/>
  <c r="N46" i="10"/>
  <c r="O46" i="10"/>
  <c r="P46" i="10"/>
  <c r="Q46" i="10"/>
  <c r="R46" i="10"/>
  <c r="S46" i="10"/>
  <c r="T46" i="10"/>
  <c r="U46" i="10"/>
  <c r="V46" i="10"/>
  <c r="W46" i="10"/>
  <c r="X46" i="10"/>
  <c r="Y46" i="10"/>
  <c r="G47" i="10"/>
  <c r="I47" i="10"/>
  <c r="K47" i="10"/>
  <c r="M47" i="10"/>
  <c r="O47" i="10"/>
  <c r="Q47" i="10"/>
  <c r="S47" i="10"/>
  <c r="U47" i="10"/>
  <c r="W47" i="10"/>
  <c r="Y47" i="10"/>
  <c r="F48" i="10"/>
  <c r="G48" i="10"/>
  <c r="H48" i="10"/>
  <c r="I48" i="10"/>
  <c r="J48" i="10"/>
  <c r="K48" i="10"/>
  <c r="L48" i="10"/>
  <c r="M48" i="10"/>
  <c r="N48" i="10"/>
  <c r="O48" i="10"/>
  <c r="P48" i="10"/>
  <c r="Q48" i="10"/>
  <c r="R48" i="10"/>
  <c r="S48" i="10"/>
  <c r="T48" i="10"/>
  <c r="U48" i="10"/>
  <c r="V48" i="10"/>
  <c r="W48" i="10"/>
  <c r="X48" i="10"/>
  <c r="Y48" i="10"/>
  <c r="G49" i="10"/>
  <c r="I49" i="10"/>
  <c r="K49" i="10"/>
  <c r="M49" i="10"/>
  <c r="O49" i="10"/>
  <c r="Q49" i="10"/>
  <c r="S49" i="10"/>
  <c r="U49" i="10"/>
  <c r="W49" i="10"/>
  <c r="Y49" i="10"/>
  <c r="F50" i="10"/>
  <c r="G50" i="10"/>
  <c r="H50" i="10"/>
  <c r="I50" i="10"/>
  <c r="J50" i="10"/>
  <c r="K50" i="10"/>
  <c r="L50" i="10"/>
  <c r="M50" i="10"/>
  <c r="N50" i="10"/>
  <c r="O50" i="10"/>
  <c r="P50" i="10"/>
  <c r="Q50" i="10"/>
  <c r="R50" i="10"/>
  <c r="S50" i="10"/>
  <c r="T50" i="10"/>
  <c r="U50" i="10"/>
  <c r="V50" i="10"/>
  <c r="W50" i="10"/>
  <c r="X50" i="10"/>
  <c r="Y50" i="10"/>
  <c r="G51" i="10"/>
  <c r="I51" i="10"/>
  <c r="K51" i="10"/>
  <c r="M51" i="10"/>
  <c r="O51" i="10"/>
  <c r="Q51" i="10"/>
  <c r="S51" i="10"/>
  <c r="U51" i="10"/>
  <c r="W51" i="10"/>
  <c r="Y51" i="10"/>
  <c r="F52" i="10"/>
  <c r="G52" i="10"/>
  <c r="H52" i="10"/>
  <c r="I52" i="10"/>
  <c r="J52" i="10"/>
  <c r="K52" i="10"/>
  <c r="L52" i="10"/>
  <c r="M52" i="10"/>
  <c r="N52" i="10"/>
  <c r="O52" i="10"/>
  <c r="P52" i="10"/>
  <c r="Q52" i="10"/>
  <c r="R52" i="10"/>
  <c r="S52" i="10"/>
  <c r="T52" i="10"/>
  <c r="U52" i="10"/>
  <c r="V52" i="10"/>
  <c r="W52" i="10"/>
  <c r="X52" i="10"/>
  <c r="Y52" i="10"/>
  <c r="G53" i="10"/>
  <c r="I53" i="10"/>
  <c r="K53" i="10"/>
  <c r="M53" i="10"/>
  <c r="O53" i="10"/>
  <c r="Q53" i="10"/>
  <c r="S53" i="10"/>
  <c r="U53" i="10"/>
  <c r="W53" i="10"/>
  <c r="Y53" i="10"/>
  <c r="F54" i="10"/>
  <c r="G54" i="10"/>
  <c r="H54" i="10"/>
  <c r="I54" i="10"/>
  <c r="J54" i="10"/>
  <c r="K54" i="10"/>
  <c r="L54" i="10"/>
  <c r="M54" i="10"/>
  <c r="N54" i="10"/>
  <c r="O54" i="10"/>
  <c r="P54" i="10"/>
  <c r="Q54" i="10"/>
  <c r="R54" i="10"/>
  <c r="S54" i="10"/>
  <c r="T54" i="10"/>
  <c r="U54" i="10"/>
  <c r="V54" i="10"/>
  <c r="W54" i="10"/>
  <c r="X54" i="10"/>
  <c r="Y54" i="10"/>
  <c r="G55" i="10"/>
  <c r="I55" i="10"/>
  <c r="K55" i="10"/>
  <c r="M55" i="10"/>
  <c r="O55" i="10"/>
  <c r="Q55" i="10"/>
  <c r="S55" i="10"/>
  <c r="U55" i="10"/>
  <c r="W55" i="10"/>
  <c r="Y55" i="10"/>
  <c r="F56" i="10"/>
  <c r="G56" i="10"/>
  <c r="H56" i="10"/>
  <c r="I56" i="10"/>
  <c r="J56" i="10"/>
  <c r="K56" i="10"/>
  <c r="L56" i="10"/>
  <c r="M56" i="10"/>
  <c r="N56" i="10"/>
  <c r="O56" i="10"/>
  <c r="P56" i="10"/>
  <c r="Q56" i="10"/>
  <c r="R56" i="10"/>
  <c r="S56" i="10"/>
  <c r="T56" i="10"/>
  <c r="U56" i="10"/>
  <c r="V56" i="10"/>
  <c r="W56" i="10"/>
  <c r="X56" i="10"/>
  <c r="Y56" i="10"/>
  <c r="G57" i="10"/>
  <c r="I57" i="10"/>
  <c r="K57" i="10"/>
  <c r="M57" i="10"/>
  <c r="O57" i="10"/>
  <c r="Q57" i="10"/>
  <c r="S57" i="10"/>
  <c r="U57" i="10"/>
  <c r="W57" i="10"/>
  <c r="Y57" i="10"/>
  <c r="F58" i="10"/>
  <c r="G58" i="10"/>
  <c r="H58" i="10"/>
  <c r="I58" i="10"/>
  <c r="J58" i="10"/>
  <c r="K58" i="10"/>
  <c r="L58" i="10"/>
  <c r="M58" i="10"/>
  <c r="N58" i="10"/>
  <c r="O58" i="10"/>
  <c r="P58" i="10"/>
  <c r="Q58" i="10"/>
  <c r="R58" i="10"/>
  <c r="S58" i="10"/>
  <c r="T58" i="10"/>
  <c r="U58" i="10"/>
  <c r="V58" i="10"/>
  <c r="W58" i="10"/>
  <c r="X58" i="10"/>
  <c r="Y58" i="10"/>
  <c r="G59" i="10"/>
  <c r="I59" i="10"/>
  <c r="K59" i="10"/>
  <c r="M59" i="10"/>
  <c r="O59" i="10"/>
  <c r="Q59" i="10"/>
  <c r="S59" i="10"/>
  <c r="U59" i="10"/>
  <c r="W59" i="10"/>
  <c r="Y59" i="10"/>
  <c r="F60" i="10"/>
  <c r="G60" i="10"/>
  <c r="H60" i="10"/>
  <c r="I60" i="10"/>
  <c r="J60" i="10"/>
  <c r="K60" i="10"/>
  <c r="L60" i="10"/>
  <c r="M60" i="10"/>
  <c r="N60" i="10"/>
  <c r="O60" i="10"/>
  <c r="P60" i="10"/>
  <c r="Q60" i="10"/>
  <c r="R60" i="10"/>
  <c r="S60" i="10"/>
  <c r="T60" i="10"/>
  <c r="U60" i="10"/>
  <c r="V60" i="10"/>
  <c r="W60" i="10"/>
  <c r="X60" i="10"/>
  <c r="Y60" i="10"/>
  <c r="E47" i="10"/>
  <c r="D48" i="10"/>
  <c r="E48" i="10"/>
  <c r="E49" i="10"/>
  <c r="D50" i="10"/>
  <c r="E50" i="10"/>
  <c r="E51" i="10"/>
  <c r="D52" i="10"/>
  <c r="E52" i="10"/>
  <c r="E53" i="10"/>
  <c r="D54" i="10"/>
  <c r="E54" i="10"/>
  <c r="E55" i="10"/>
  <c r="D56" i="10"/>
  <c r="E56" i="10"/>
  <c r="E57" i="10"/>
  <c r="D58" i="10"/>
  <c r="E58" i="10"/>
  <c r="E59" i="10"/>
  <c r="D60" i="10"/>
  <c r="E60" i="10"/>
  <c r="E46" i="10"/>
  <c r="D46" i="10"/>
  <c r="E45" i="10"/>
</calcChain>
</file>

<file path=xl/sharedStrings.xml><?xml version="1.0" encoding="utf-8"?>
<sst xmlns="http://schemas.openxmlformats.org/spreadsheetml/2006/main" count="1033" uniqueCount="275">
  <si>
    <t xml:space="preserve">concio : </t>
  </si>
  <si>
    <t xml:space="preserve">Giunzione bullonata o saldata? (B/S) [hmin | hmax]= </t>
  </si>
  <si>
    <t>S</t>
  </si>
  <si>
    <t xml:space="preserve">Armatura  longitudinale superiore al metro trasversale [n | Φ /m] = </t>
  </si>
  <si>
    <t xml:space="preserve">Armatura  longitudinale inferiore al metro trasversale [n | Φ /m] = </t>
  </si>
  <si>
    <t xml:space="preserve">Distanza dall'estradosso soletta - arm.inferiore [mm] = </t>
  </si>
  <si>
    <t xml:space="preserve">n° di diagonali in una maglia = </t>
  </si>
  <si>
    <t xml:space="preserve">Larghezza soletta [mm] = </t>
  </si>
  <si>
    <t xml:space="preserve">Sbalzo soletta lato di verifica [mm] = </t>
  </si>
  <si>
    <t xml:space="preserve">Riduzione soletta collaborante [sbalzo | interno ] [mm] = </t>
  </si>
  <si>
    <t>LAMIERE</t>
  </si>
  <si>
    <t>Rapporto limite per il web breathing | rapporto bw/tw</t>
  </si>
  <si>
    <t xml:space="preserve">Lunghezza della travata [mm] = </t>
  </si>
  <si>
    <t xml:space="preserve">Interasse superiore fra le travi [hmin | hmax] [mm] = </t>
  </si>
  <si>
    <t xml:space="preserve">Inclinazione dell'anima [° | rad] = </t>
  </si>
  <si>
    <t xml:space="preserve">Interasse inferiore fra le travi hmin | hmax [mm] = </t>
  </si>
  <si>
    <t xml:space="preserve">Lunghezza concio [mm] = </t>
  </si>
  <si>
    <t xml:space="preserve">Altezza media della trave [mm] = </t>
  </si>
  <si>
    <t xml:space="preserve">Altezza minima della trave h1 [mm] = </t>
  </si>
  <si>
    <t xml:space="preserve">Altezza massima della trave h2 [mm] = </t>
  </si>
  <si>
    <t xml:space="preserve">peso concio [kg | kg/m] = </t>
  </si>
  <si>
    <t xml:space="preserve">Larghezza e spessore pb superiore esterna [mm] = </t>
  </si>
  <si>
    <t xml:space="preserve">Larghezza e spessore pb superiore interna [mm] = </t>
  </si>
  <si>
    <t xml:space="preserve">Spessore e altezza anima [mm] = </t>
  </si>
  <si>
    <t xml:space="preserve">Larghezza e spessore pb inferiore interna [mm] = </t>
  </si>
  <si>
    <t xml:space="preserve">Larghezza e spessore pb inferiore esterna [mm] = </t>
  </si>
  <si>
    <t xml:space="preserve">Concio fessurato / non fessurato [hmin | hmax] = </t>
  </si>
  <si>
    <t>Stato prevalente soletta</t>
  </si>
  <si>
    <t xml:space="preserve">Warning = </t>
  </si>
  <si>
    <t>Spalla</t>
  </si>
  <si>
    <t>Pila</t>
  </si>
  <si>
    <t>RISULTATI DELLE VERIFICHE</t>
  </si>
  <si>
    <t>Conci calcolati SLU</t>
  </si>
  <si>
    <t>Conci calcolati fase g</t>
  </si>
  <si>
    <t>SLU fase g - RESISTENZA E STABILITA'</t>
  </si>
  <si>
    <t>massimo momento</t>
  </si>
  <si>
    <t>minimo momento</t>
  </si>
  <si>
    <t>taglio</t>
  </si>
  <si>
    <t>momento torcente</t>
  </si>
  <si>
    <t>SLU finale - RESISTENZA E STABILITA'</t>
  </si>
  <si>
    <t>valori verifica elastica</t>
  </si>
  <si>
    <t/>
  </si>
  <si>
    <t xml:space="preserve">Armatura  longitudinale superiore al metro trasversale [mm2/m] = </t>
  </si>
  <si>
    <t xml:space="preserve">Distanza dall'estradosso soletta - arm.superiore [mm] = </t>
  </si>
  <si>
    <t xml:space="preserve">Armatura  longitudinale inferiore al metro trasversale [mm2/m] = </t>
  </si>
  <si>
    <t xml:space="preserve">Area della diagonale inferiore di controvento [mm2] = </t>
  </si>
  <si>
    <t xml:space="preserve">area [mm2] = </t>
  </si>
  <si>
    <t>NF</t>
  </si>
  <si>
    <t>F</t>
  </si>
  <si>
    <t>compressa</t>
  </si>
  <si>
    <t>tesa</t>
  </si>
  <si>
    <t xml:space="preserve"> Efficacia pb inf 100%</t>
  </si>
  <si>
    <t>OK</t>
  </si>
  <si>
    <t>/ 17</t>
  </si>
  <si>
    <t>sup 0.031</t>
  </si>
  <si>
    <t>sup 0.110</t>
  </si>
  <si>
    <t>inf 0.123</t>
  </si>
  <si>
    <t>sup 0.000</t>
  </si>
  <si>
    <t>inf 0.000</t>
  </si>
  <si>
    <t>inf 0.105</t>
  </si>
  <si>
    <t>sup -0.049</t>
  </si>
  <si>
    <t>Cl.3 OK</t>
  </si>
  <si>
    <t>Cl.4 OK</t>
  </si>
  <si>
    <t>sup -0.405</t>
  </si>
  <si>
    <t>sup -0.437</t>
  </si>
  <si>
    <t>inf 0.142</t>
  </si>
  <si>
    <t>sup -0.061</t>
  </si>
  <si>
    <t>sup -0.031</t>
  </si>
  <si>
    <t>sup -0.082</t>
  </si>
  <si>
    <t xml:space="preserve"> </t>
  </si>
  <si>
    <t>inf 0.241</t>
  </si>
  <si>
    <t>inf 0.222</t>
  </si>
  <si>
    <t>sup -0.080</t>
  </si>
  <si>
    <t>inf -0.321</t>
  </si>
  <si>
    <t>inf 0.045</t>
  </si>
  <si>
    <t>sup -0.071</t>
  </si>
  <si>
    <t>inf -0.173</t>
  </si>
  <si>
    <t>inf 0.828</t>
  </si>
  <si>
    <t>sup -0.418</t>
  </si>
  <si>
    <t>sup -0.078</t>
  </si>
  <si>
    <t>sup -0.423</t>
  </si>
  <si>
    <t>inf -0.328</t>
  </si>
  <si>
    <t>inf 0.218</t>
  </si>
  <si>
    <t>sup -0.481</t>
  </si>
  <si>
    <t>sup -0.075</t>
  </si>
  <si>
    <t>sup 0.409</t>
  </si>
  <si>
    <t>inf -0.249</t>
  </si>
  <si>
    <t>inf 0.007</t>
  </si>
  <si>
    <t>inf -0.247</t>
  </si>
  <si>
    <t>inf -0.007</t>
  </si>
  <si>
    <t>inf -0.228</t>
  </si>
  <si>
    <t>sup -0.024</t>
  </si>
  <si>
    <t>sup 0.625</t>
  </si>
  <si>
    <t>sup 0.595</t>
  </si>
  <si>
    <t>inf -0.761</t>
  </si>
  <si>
    <t>inf 0.637</t>
  </si>
  <si>
    <t>sup 0.028</t>
  </si>
  <si>
    <t xml:space="preserve"> Efficacia pb inf 99%</t>
  </si>
  <si>
    <t>sup -0.487</t>
  </si>
  <si>
    <t>sup -0.642</t>
  </si>
  <si>
    <t>sup -0.479</t>
  </si>
  <si>
    <t>inf -0.278</t>
  </si>
  <si>
    <t>inf 0.644</t>
  </si>
  <si>
    <t>sup -0.499</t>
  </si>
  <si>
    <t>COMMESSA:</t>
  </si>
  <si>
    <t>215_ALFONSINE</t>
  </si>
  <si>
    <t>OPERA D'ARTE:</t>
  </si>
  <si>
    <t>VIADOTTO DI APPROCCIO EST</t>
  </si>
  <si>
    <t>Data:</t>
  </si>
  <si>
    <t>File Midas:</t>
  </si>
  <si>
    <t>File SuperFoglio:</t>
  </si>
  <si>
    <t>inf 0.188</t>
  </si>
  <si>
    <t>inf -0.052</t>
  </si>
  <si>
    <t>sup 0.230</t>
  </si>
  <si>
    <t>inf -0.092</t>
  </si>
  <si>
    <t>sup 0.413</t>
  </si>
  <si>
    <t>inf 0.180</t>
  </si>
  <si>
    <t>inf -0.022</t>
  </si>
  <si>
    <t>inf 0.846</t>
  </si>
  <si>
    <t>sup -0.033</t>
  </si>
  <si>
    <t>sup -0.444</t>
  </si>
  <si>
    <t>inf 0.761</t>
  </si>
  <si>
    <t>sup 0.250</t>
  </si>
  <si>
    <t>sup -0.135</t>
  </si>
  <si>
    <t>inf 0.299</t>
  </si>
  <si>
    <t>sup -0.597</t>
  </si>
  <si>
    <t>sup 0.727</t>
  </si>
  <si>
    <t>inf -0.738</t>
  </si>
  <si>
    <t>inf 0.718</t>
  </si>
  <si>
    <t>inf 0.617</t>
  </si>
  <si>
    <t>05_Alfonsine_Viadotto_EST_SPF</t>
  </si>
  <si>
    <t>sup -0.580</t>
  </si>
  <si>
    <t>sup -0.438</t>
  </si>
  <si>
    <t>sup 0.095</t>
  </si>
  <si>
    <t>sup 0.222</t>
  </si>
  <si>
    <t>inf -0.167</t>
  </si>
  <si>
    <t>sup -0.002</t>
  </si>
  <si>
    <t>inf 0.002</t>
  </si>
  <si>
    <t>inf 0.162</t>
  </si>
  <si>
    <t>sup -0.544</t>
  </si>
  <si>
    <t>inf 0.191</t>
  </si>
  <si>
    <t>sup -0.402</t>
  </si>
  <si>
    <t>inf 0.168</t>
  </si>
  <si>
    <t>sup 0.009</t>
  </si>
  <si>
    <t>inf -0.005</t>
  </si>
  <si>
    <t>sup -0.451</t>
  </si>
  <si>
    <t>inf 0.170</t>
  </si>
  <si>
    <t>sup 0.125</t>
  </si>
  <si>
    <t>inf -0.057</t>
  </si>
  <si>
    <t>sup 0.437</t>
  </si>
  <si>
    <t>inf -0.269</t>
  </si>
  <si>
    <t>sup 0.015</t>
  </si>
  <si>
    <t>inf 0.156</t>
  </si>
  <si>
    <t>sup 0.485</t>
  </si>
  <si>
    <t>sup 0.447</t>
  </si>
  <si>
    <t>inf -0.336</t>
  </si>
  <si>
    <t>sup 0.047</t>
  </si>
  <si>
    <t>sup 0.462</t>
  </si>
  <si>
    <t>inf -0.310</t>
  </si>
  <si>
    <t>sup 0.376</t>
  </si>
  <si>
    <t>sup -0.057</t>
  </si>
  <si>
    <t>inf 0.023</t>
  </si>
  <si>
    <t>sup -0.469</t>
  </si>
  <si>
    <t>inf 0.165</t>
  </si>
  <si>
    <t>inf 0.025</t>
  </si>
  <si>
    <t>sup 0.448</t>
  </si>
  <si>
    <t>inf -0.259</t>
  </si>
  <si>
    <t>sup 0.423</t>
  </si>
  <si>
    <t>inf -0.318</t>
  </si>
  <si>
    <t>sup -0.521</t>
  </si>
  <si>
    <t>inf 0.739</t>
  </si>
  <si>
    <t>sup 0.084</t>
  </si>
  <si>
    <t>sup 0.244</t>
  </si>
  <si>
    <t>inf -0.161</t>
  </si>
  <si>
    <t>inf 0.254</t>
  </si>
  <si>
    <t>inf 0.732</t>
  </si>
  <si>
    <t>sup -0.566</t>
  </si>
  <si>
    <t>inf 0.826</t>
  </si>
  <si>
    <t>sup -0.442</t>
  </si>
  <si>
    <t>sup -0.008</t>
  </si>
  <si>
    <t>inf -0.164</t>
  </si>
  <si>
    <t>sup -0.035</t>
  </si>
  <si>
    <t>inf 0.062</t>
  </si>
  <si>
    <t>sup -0.538</t>
  </si>
  <si>
    <t>inf 0.173</t>
  </si>
  <si>
    <t>sup 0.147</t>
  </si>
  <si>
    <t>inf -0.276</t>
  </si>
  <si>
    <t>sup 0.866</t>
  </si>
  <si>
    <t>inf -0.801</t>
  </si>
  <si>
    <t>sup 0.831</t>
  </si>
  <si>
    <t>inf -0.864</t>
  </si>
  <si>
    <t>sup 0.778</t>
  </si>
  <si>
    <t>inf -0.854</t>
  </si>
  <si>
    <t>sup -0.427</t>
  </si>
  <si>
    <t>inf 0.012</t>
  </si>
  <si>
    <t>sup 0.023</t>
  </si>
  <si>
    <t>inf -0.237</t>
  </si>
  <si>
    <t>inf -0.820</t>
  </si>
  <si>
    <t>inf -0.873</t>
  </si>
  <si>
    <t>inf 0.590</t>
  </si>
  <si>
    <t>sup 0.008</t>
  </si>
  <si>
    <t>sup 0.675</t>
  </si>
  <si>
    <t>inf -0.559</t>
  </si>
  <si>
    <t>sup 0.725</t>
  </si>
  <si>
    <t>inf -0.736</t>
  </si>
  <si>
    <t>inf -0.651</t>
  </si>
  <si>
    <t>inf 0.093</t>
  </si>
  <si>
    <t>sup -0.454</t>
  </si>
  <si>
    <t>inf 0.414</t>
  </si>
  <si>
    <t>sup -0.079</t>
  </si>
  <si>
    <t>inf -0.624</t>
  </si>
  <si>
    <t>inf -0.760</t>
  </si>
  <si>
    <t>sup -0.486</t>
  </si>
  <si>
    <t>sup -0.714</t>
  </si>
  <si>
    <t>inf 0.719</t>
  </si>
  <si>
    <t>sup -0.505</t>
  </si>
  <si>
    <t>sup 0.025</t>
  </si>
  <si>
    <t>inf 0.050</t>
  </si>
  <si>
    <t>inf -0.376</t>
  </si>
  <si>
    <t>inf 0.046</t>
  </si>
  <si>
    <t>inf 0.612</t>
  </si>
  <si>
    <t>sup -0.636</t>
  </si>
  <si>
    <t>sup -0.429</t>
  </si>
  <si>
    <t>inf 0.058</t>
  </si>
  <si>
    <t>sup 0.021</t>
  </si>
  <si>
    <t>sup -0.130</t>
  </si>
  <si>
    <t>inf 0.283</t>
  </si>
  <si>
    <t>sup 0.676</t>
  </si>
  <si>
    <t>02_Alfonsine_Viadotto est</t>
  </si>
  <si>
    <t>sup 0.847</t>
  </si>
  <si>
    <t>sup 0.827</t>
  </si>
  <si>
    <t>sup 0.693</t>
  </si>
  <si>
    <t>sup 0.736</t>
  </si>
  <si>
    <t>sup 0.410</t>
  </si>
  <si>
    <t>sup 0.126</t>
  </si>
  <si>
    <t>sup 0.096</t>
  </si>
  <si>
    <t>sup -0.522</t>
  </si>
  <si>
    <t>sup -0.029</t>
  </si>
  <si>
    <t>sup 0.756</t>
  </si>
  <si>
    <t>inf -0.818</t>
  </si>
  <si>
    <t>inf 0.031</t>
  </si>
  <si>
    <t>inf -0.215</t>
  </si>
  <si>
    <t>sup 0.825</t>
  </si>
  <si>
    <t>inf -0.785</t>
  </si>
  <si>
    <t>sup 0.804</t>
  </si>
  <si>
    <t>inf -0.840</t>
  </si>
  <si>
    <t>sup -0.596</t>
  </si>
  <si>
    <t>inf 0.583</t>
  </si>
  <si>
    <t>sup 0.013</t>
  </si>
  <si>
    <t>inf 0.090</t>
  </si>
  <si>
    <t>sup 0.680</t>
  </si>
  <si>
    <t>inf -0.568</t>
  </si>
  <si>
    <t>inf -0.602</t>
  </si>
  <si>
    <t>inf 0.124</t>
  </si>
  <si>
    <t>sup -0.453</t>
  </si>
  <si>
    <t>inf 0.408</t>
  </si>
  <si>
    <t>inf 0.127</t>
  </si>
  <si>
    <t>inf -0.598</t>
  </si>
  <si>
    <t>sup 0.737</t>
  </si>
  <si>
    <t>inf 0.674</t>
  </si>
  <si>
    <t>sup -0.701</t>
  </si>
  <si>
    <t>inf 0.641</t>
  </si>
  <si>
    <t>inf 0.480</t>
  </si>
  <si>
    <t>sup 0.163</t>
  </si>
  <si>
    <t>inf -0.150</t>
  </si>
  <si>
    <t>sup 0.476</t>
  </si>
  <si>
    <t>inf -0.510</t>
  </si>
  <si>
    <t>inf 0.073</t>
  </si>
  <si>
    <t>sup -0.475</t>
  </si>
  <si>
    <t>inf 0.381</t>
  </si>
  <si>
    <t>sup -0.635</t>
  </si>
  <si>
    <t>inf 0.633</t>
  </si>
  <si>
    <t>inf 0.410</t>
  </si>
  <si>
    <t>sup 0.518</t>
  </si>
  <si>
    <t>inf -0.458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</si>
</sst>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quot;-&quot;"/>
  </numFmts>
  <fonts count="12" x14ac:knownFonts="1">
    <font>
      <sz val="11"/>
      <color theme="1"/>
      <name val="Calibri"/>
      <family val="2"/>
      <scheme val="minor"/>
    </font>
    <font>
      <b/>
      <sz val="10"/>
      <name val="Arial"/>
      <family val="2"/>
    </font>
    <font>
      <sz val="10"/>
      <name val="Arial"/>
      <family val="2"/>
    </font>
    <font>
      <b/>
      <sz val="14"/>
      <name val="Arial"/>
      <family val="2"/>
    </font>
    <font>
      <sz val="8"/>
      <name val="Arial"/>
      <family val="2"/>
    </font>
    <font>
      <sz val="10"/>
      <color indexed="21"/>
      <name val="Arial"/>
      <family val="2"/>
    </font>
    <font>
      <sz val="11"/>
      <color indexed="8"/>
      <name val="Calibri"/>
      <family val="2"/>
    </font>
    <font>
      <i/>
      <sz val="7"/>
      <name val="Arial"/>
      <family val="2"/>
    </font>
    <font>
      <b/>
      <sz val="11"/>
      <color theme="1"/>
      <name val="Calibri"/>
      <family val="2"/>
      <scheme val="minor"/>
    </font>
    <font>
      <b/>
      <i/>
      <sz val="11"/>
      <color rgb="FFFF0000"/>
      <name val="Calibri"/>
      <family val="2"/>
      <scheme val="minor"/>
    </font>
    <font>
      <i/>
      <sz val="11"/>
      <color rgb="FFFF0000"/>
      <name val="Calibri"/>
      <family val="2"/>
      <scheme val="minor"/>
    </font>
    <font>
      <i/>
      <sz val="11"/>
      <color rgb="FF0070C0"/>
      <name val="Calibri"/>
      <family val="2"/>
      <scheme val="minor"/>
    </font>
  </fonts>
  <fills count="12">
    <fill>
      <patternFill patternType="none"/>
    </fill>
    <fill>
      <patternFill patternType="gray125"/>
    </fill>
    <fill>
      <patternFill patternType="solid">
        <fgColor rgb="FFFFC000"/>
        <bgColor indexed="64"/>
      </patternFill>
    </fill>
    <fill>
      <patternFill patternType="solid">
        <fgColor theme="9" tint="0.59999389629810485"/>
        <bgColor indexed="64"/>
      </patternFill>
    </fill>
    <fill>
      <patternFill patternType="solid">
        <fgColor rgb="FFFFFF99"/>
        <bgColor indexed="64"/>
      </patternFill>
    </fill>
    <fill>
      <patternFill patternType="solid">
        <fgColor indexed="43"/>
        <bgColor indexed="64"/>
      </patternFill>
    </fill>
    <fill>
      <patternFill patternType="solid">
        <fgColor theme="3" tint="0.39997558519241921"/>
        <bgColor indexed="64"/>
      </patternFill>
    </fill>
    <fill>
      <patternFill patternType="solid">
        <fgColor theme="0" tint="-0.14999847407452621"/>
        <bgColor indexed="64"/>
      </patternFill>
    </fill>
    <fill>
      <patternFill patternType="solid">
        <fgColor theme="0"/>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indexed="11"/>
      </patternFill>
    </fill>
  </fills>
  <borders count="78">
    <border>
      <left/>
      <right/>
      <top/>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style="medium">
        <color indexed="64"/>
      </left>
      <right/>
      <top/>
      <bottom/>
      <diagonal/>
    </border>
    <border>
      <left/>
      <right style="thin">
        <color indexed="64"/>
      </right>
      <top/>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double">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style="double">
        <color indexed="64"/>
      </top>
      <bottom style="hair">
        <color indexed="64"/>
      </bottom>
      <diagonal/>
    </border>
    <border>
      <left/>
      <right/>
      <top style="double">
        <color indexed="64"/>
      </top>
      <bottom style="hair">
        <color indexed="64"/>
      </bottom>
      <diagonal/>
    </border>
    <border>
      <left/>
      <right style="thin">
        <color indexed="64"/>
      </right>
      <top style="double">
        <color auto="1"/>
      </top>
      <bottom style="hair">
        <color indexed="64"/>
      </bottom>
      <diagonal/>
    </border>
    <border>
      <left style="thin">
        <color indexed="64"/>
      </left>
      <right/>
      <top style="double">
        <color auto="1"/>
      </top>
      <bottom style="hair">
        <color indexed="64"/>
      </bottom>
      <diagonal/>
    </border>
    <border>
      <left style="medium">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thin">
        <color indexed="64"/>
      </left>
      <right/>
      <top/>
      <bottom/>
      <diagonal/>
    </border>
    <border>
      <left style="medium">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style="medium">
        <color indexed="64"/>
      </left>
      <right style="thin">
        <color indexed="64"/>
      </right>
      <top style="double">
        <color indexed="64"/>
      </top>
      <bottom style="hair">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style="thin">
        <color indexed="64"/>
      </right>
      <top style="hair">
        <color indexed="64"/>
      </top>
      <bottom style="medium">
        <color indexed="64"/>
      </bottom>
      <diagonal/>
    </border>
    <border>
      <left/>
      <right style="medium">
        <color indexed="64"/>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bottom/>
      <diagonal/>
    </border>
    <border>
      <left style="medium">
        <color indexed="64"/>
      </left>
      <right/>
      <top style="medium">
        <color indexed="64"/>
      </top>
      <bottom/>
      <diagonal/>
    </border>
    <border>
      <left/>
      <right/>
      <top style="double">
        <color indexed="64"/>
      </top>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bottom style="double">
        <color indexed="64"/>
      </bottom>
      <diagonal/>
    </border>
    <border>
      <left/>
      <right style="medium">
        <color indexed="64"/>
      </right>
      <top style="medium">
        <color indexed="64"/>
      </top>
      <bottom/>
      <diagonal/>
    </border>
    <border>
      <left/>
      <right style="medium">
        <color indexed="64"/>
      </right>
      <top/>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double">
        <color indexed="64"/>
      </top>
      <bottom style="double">
        <color indexed="64"/>
      </bottom>
      <diagonal/>
    </border>
    <border>
      <left/>
      <right style="thin">
        <color indexed="64"/>
      </right>
      <top style="double">
        <color indexed="64"/>
      </top>
      <bottom style="double">
        <color indexed="64"/>
      </bottom>
      <diagonal/>
    </border>
  </borders>
  <cellStyleXfs count="5">
    <xf numFmtId="0" fontId="0" fillId="0" borderId="0"/>
    <xf numFmtId="0" fontId="2" fillId="0" borderId="0"/>
    <xf numFmtId="0" fontId="2" fillId="9" borderId="14" applyNumberFormat="0" applyFont="0" applyBorder="0" applyAlignment="0" applyProtection="0">
      <alignment horizontal="center" vertical="center"/>
      <protection locked="0"/>
    </xf>
    <xf numFmtId="0" fontId="2" fillId="10" borderId="14" applyNumberFormat="0" applyFont="0" applyBorder="0" applyAlignment="0" applyProtection="0">
      <alignment horizontal="center" vertical="center"/>
      <protection locked="0"/>
    </xf>
    <xf numFmtId="0" fontId="6" fillId="11" borderId="0" applyNumberFormat="0" applyBorder="0" applyAlignment="0" applyProtection="0"/>
  </cellStyleXfs>
  <cellXfs count="181">
    <xf numFmtId="0" fontId="0" fillId="0" borderId="0" xfId="0"/>
    <xf numFmtId="0" fontId="0" fillId="0" borderId="0" xfId="0" applyAlignment="1">
      <alignment horizontal="right" vertical="center"/>
    </xf>
    <xf numFmtId="0" fontId="0" fillId="0" borderId="0" xfId="0" applyAlignment="1">
      <alignment vertical="center"/>
    </xf>
    <xf numFmtId="0" fontId="1" fillId="4" borderId="9" xfId="0" applyFont="1" applyFill="1" applyBorder="1" applyAlignment="1">
      <alignment horizontal="center" vertical="center"/>
    </xf>
    <xf numFmtId="0" fontId="2" fillId="0" borderId="10" xfId="0" applyFont="1" applyBorder="1" applyAlignment="1">
      <alignment horizontal="right" vertical="center"/>
    </xf>
    <xf numFmtId="0" fontId="2" fillId="0" borderId="0" xfId="0" applyFont="1" applyAlignment="1">
      <alignment horizontal="right" vertical="center"/>
    </xf>
    <xf numFmtId="0" fontId="2" fillId="0" borderId="11" xfId="0" applyFont="1" applyBorder="1" applyAlignment="1">
      <alignment horizontal="right" vertical="center"/>
    </xf>
    <xf numFmtId="0" fontId="2" fillId="5" borderId="12" xfId="1" applyFill="1" applyBorder="1" applyAlignment="1" applyProtection="1">
      <alignment horizontal="center" vertical="center"/>
      <protection locked="0"/>
    </xf>
    <xf numFmtId="0" fontId="2" fillId="0" borderId="17" xfId="0" applyFont="1" applyBorder="1" applyAlignment="1">
      <alignment horizontal="right" vertical="center"/>
    </xf>
    <xf numFmtId="0" fontId="2" fillId="4" borderId="19" xfId="0" applyFont="1" applyFill="1" applyBorder="1" applyAlignment="1" applyProtection="1">
      <alignment horizontal="center" vertical="center"/>
      <protection locked="0"/>
    </xf>
    <xf numFmtId="0" fontId="2" fillId="6" borderId="18" xfId="0" applyFont="1" applyFill="1" applyBorder="1" applyAlignment="1" applyProtection="1">
      <alignment horizontal="center" vertical="center"/>
      <protection locked="0"/>
    </xf>
    <xf numFmtId="0" fontId="0" fillId="0" borderId="24" xfId="0" applyBorder="1" applyAlignment="1">
      <alignment vertical="center"/>
    </xf>
    <xf numFmtId="0" fontId="0" fillId="0" borderId="24" xfId="0" applyBorder="1"/>
    <xf numFmtId="0" fontId="1" fillId="0" borderId="16" xfId="0" applyFont="1" applyBorder="1" applyAlignment="1">
      <alignment horizontal="center" vertical="center"/>
    </xf>
    <xf numFmtId="0" fontId="1" fillId="0" borderId="17" xfId="0" applyFont="1" applyBorder="1" applyAlignment="1">
      <alignment horizontal="center" vertical="center"/>
    </xf>
    <xf numFmtId="0" fontId="2" fillId="0" borderId="25" xfId="0" applyFont="1" applyBorder="1" applyAlignment="1">
      <alignment horizontal="center" vertical="center"/>
    </xf>
    <xf numFmtId="164" fontId="2" fillId="0" borderId="26" xfId="0" applyNumberFormat="1" applyFont="1" applyBorder="1" applyAlignment="1">
      <alignment horizontal="center" vertical="center"/>
    </xf>
    <xf numFmtId="0" fontId="2" fillId="0" borderId="19" xfId="0" applyFont="1" applyBorder="1" applyAlignment="1">
      <alignment horizontal="center" vertical="center"/>
    </xf>
    <xf numFmtId="164" fontId="2" fillId="0" borderId="18" xfId="0" applyNumberFormat="1" applyFont="1" applyBorder="1" applyAlignment="1">
      <alignment horizontal="center" vertical="center"/>
    </xf>
    <xf numFmtId="0" fontId="2" fillId="5" borderId="32" xfId="1" applyFill="1" applyBorder="1" applyAlignment="1" applyProtection="1">
      <alignment horizontal="center" vertical="center"/>
      <protection locked="0"/>
    </xf>
    <xf numFmtId="2" fontId="2" fillId="4" borderId="34" xfId="2" applyNumberFormat="1" applyFont="1" applyFill="1" applyBorder="1" applyAlignment="1" applyProtection="1">
      <alignment horizontal="center" vertical="center"/>
      <protection locked="0"/>
    </xf>
    <xf numFmtId="165" fontId="2" fillId="0" borderId="34" xfId="0" applyNumberFormat="1" applyFont="1" applyBorder="1" applyAlignment="1" applyProtection="1">
      <alignment horizontal="center" vertical="center"/>
      <protection locked="0"/>
    </xf>
    <xf numFmtId="1" fontId="2" fillId="0" borderId="36" xfId="1" applyNumberFormat="1" applyBorder="1" applyAlignment="1" applyProtection="1">
      <alignment horizontal="center" vertical="center"/>
      <protection locked="0"/>
    </xf>
    <xf numFmtId="1" fontId="2" fillId="0" borderId="38" xfId="0" applyNumberFormat="1" applyFont="1" applyBorder="1" applyAlignment="1" applyProtection="1">
      <alignment horizontal="center" vertical="center"/>
      <protection locked="0"/>
    </xf>
    <xf numFmtId="0" fontId="4" fillId="0" borderId="10" xfId="0" applyFont="1" applyBorder="1" applyAlignment="1">
      <alignment vertical="center"/>
    </xf>
    <xf numFmtId="0" fontId="4" fillId="0" borderId="0" xfId="0" applyFont="1" applyAlignment="1">
      <alignment vertical="center"/>
    </xf>
    <xf numFmtId="0" fontId="4" fillId="0" borderId="11" xfId="0" applyFont="1" applyBorder="1" applyAlignment="1">
      <alignment horizontal="right" vertical="center"/>
    </xf>
    <xf numFmtId="166" fontId="2" fillId="0" borderId="47" xfId="0" applyNumberFormat="1" applyFont="1" applyBorder="1" applyAlignment="1">
      <alignment horizontal="center" vertical="center"/>
    </xf>
    <xf numFmtId="166" fontId="2" fillId="0" borderId="11" xfId="0" applyNumberFormat="1" applyFont="1" applyBorder="1" applyAlignment="1">
      <alignment horizontal="center" vertical="center"/>
    </xf>
    <xf numFmtId="0" fontId="4" fillId="0" borderId="48" xfId="0" applyFont="1" applyBorder="1" applyAlignment="1">
      <alignment vertical="center"/>
    </xf>
    <xf numFmtId="0" fontId="4" fillId="0" borderId="49" xfId="0" applyFont="1" applyBorder="1" applyAlignment="1">
      <alignment vertical="center"/>
    </xf>
    <xf numFmtId="0" fontId="4" fillId="0" borderId="50" xfId="0" applyFont="1" applyBorder="1" applyAlignment="1">
      <alignment horizontal="right" vertical="center"/>
    </xf>
    <xf numFmtId="166" fontId="2" fillId="0" borderId="0" xfId="0" applyNumberFormat="1" applyFont="1" applyAlignment="1">
      <alignment horizontal="center" vertical="center"/>
    </xf>
    <xf numFmtId="1" fontId="2" fillId="4" borderId="42" xfId="2" applyNumberFormat="1" applyFont="1" applyFill="1" applyBorder="1" applyAlignment="1" applyProtection="1">
      <alignment horizontal="center" vertical="center"/>
    </xf>
    <xf numFmtId="1" fontId="2" fillId="4" borderId="41" xfId="2" applyNumberFormat="1" applyFont="1" applyFill="1" applyBorder="1" applyAlignment="1" applyProtection="1">
      <alignment horizontal="center" vertical="center"/>
    </xf>
    <xf numFmtId="1" fontId="2" fillId="4" borderId="46" xfId="2" applyNumberFormat="1" applyFont="1" applyFill="1" applyBorder="1" applyAlignment="1" applyProtection="1">
      <alignment horizontal="center"/>
      <protection locked="0"/>
    </xf>
    <xf numFmtId="1" fontId="2" fillId="4" borderId="45" xfId="2" applyNumberFormat="1" applyFont="1" applyFill="1" applyBorder="1" applyAlignment="1" applyProtection="1">
      <alignment horizontal="center"/>
      <protection locked="0"/>
    </xf>
    <xf numFmtId="1" fontId="2" fillId="4" borderId="14" xfId="3" applyNumberFormat="1" applyFont="1" applyFill="1" applyBorder="1" applyAlignment="1" applyProtection="1">
      <alignment horizontal="center"/>
      <protection locked="0"/>
    </xf>
    <xf numFmtId="1" fontId="2" fillId="0" borderId="15" xfId="3" applyNumberFormat="1" applyFont="1" applyFill="1" applyBorder="1" applyAlignment="1" applyProtection="1">
      <alignment horizontal="center"/>
      <protection locked="0"/>
    </xf>
    <xf numFmtId="1" fontId="2" fillId="4" borderId="52" xfId="2" applyNumberFormat="1" applyFont="1" applyFill="1" applyBorder="1" applyAlignment="1" applyProtection="1">
      <alignment horizontal="center"/>
      <protection locked="0"/>
    </xf>
    <xf numFmtId="1" fontId="2" fillId="4" borderId="53" xfId="2" applyNumberFormat="1" applyFont="1" applyFill="1" applyBorder="1" applyAlignment="1" applyProtection="1">
      <alignment horizontal="center"/>
      <protection locked="0"/>
    </xf>
    <xf numFmtId="1" fontId="2" fillId="4" borderId="56" xfId="2" applyNumberFormat="1" applyFont="1" applyFill="1" applyBorder="1" applyAlignment="1" applyProtection="1">
      <alignment horizontal="center" vertical="center"/>
    </xf>
    <xf numFmtId="1" fontId="2" fillId="4" borderId="57" xfId="2" applyNumberFormat="1" applyFont="1" applyFill="1" applyBorder="1" applyAlignment="1" applyProtection="1">
      <alignment horizontal="center" vertical="center"/>
    </xf>
    <xf numFmtId="1" fontId="2" fillId="0" borderId="16" xfId="0" applyNumberFormat="1" applyFont="1" applyBorder="1" applyAlignment="1">
      <alignment horizontal="center" vertical="center"/>
    </xf>
    <xf numFmtId="1" fontId="2" fillId="0" borderId="58" xfId="0" applyNumberFormat="1" applyFont="1" applyBorder="1" applyAlignment="1">
      <alignment horizontal="center" vertical="center"/>
    </xf>
    <xf numFmtId="0" fontId="0" fillId="0" borderId="20" xfId="0" applyBorder="1" applyAlignment="1">
      <alignment vertical="center"/>
    </xf>
    <xf numFmtId="0" fontId="2" fillId="0" borderId="20" xfId="0" applyFont="1" applyBorder="1" applyAlignment="1">
      <alignment vertical="center"/>
    </xf>
    <xf numFmtId="0" fontId="2" fillId="0" borderId="62" xfId="0" applyFont="1" applyBorder="1" applyAlignment="1">
      <alignment vertical="center"/>
    </xf>
    <xf numFmtId="0" fontId="2" fillId="0" borderId="20" xfId="0" applyFont="1" applyBorder="1" applyAlignment="1">
      <alignment horizontal="right" vertical="center"/>
    </xf>
    <xf numFmtId="0" fontId="3" fillId="0" borderId="62" xfId="0" applyFont="1" applyBorder="1" applyAlignment="1">
      <alignment horizontal="center" vertical="center"/>
    </xf>
    <xf numFmtId="0" fontId="3" fillId="0" borderId="20" xfId="0" applyFont="1" applyBorder="1" applyAlignment="1">
      <alignment horizontal="center" vertical="center"/>
    </xf>
    <xf numFmtId="0" fontId="3" fillId="0" borderId="22" xfId="0" applyFont="1" applyBorder="1" applyAlignment="1">
      <alignment horizontal="center" vertical="center"/>
    </xf>
    <xf numFmtId="0" fontId="3" fillId="0" borderId="17" xfId="0" applyFont="1" applyBorder="1" applyAlignment="1">
      <alignment horizontal="center" vertical="center"/>
    </xf>
    <xf numFmtId="0" fontId="0" fillId="0" borderId="17" xfId="0" applyBorder="1" applyAlignment="1">
      <alignment vertical="center"/>
    </xf>
    <xf numFmtId="0" fontId="2" fillId="0" borderId="17" xfId="0" applyFont="1" applyBorder="1" applyAlignment="1">
      <alignment vertical="center"/>
    </xf>
    <xf numFmtId="0" fontId="5" fillId="0" borderId="17" xfId="0" applyFont="1" applyBorder="1" applyAlignment="1">
      <alignment vertical="center"/>
    </xf>
    <xf numFmtId="0" fontId="1" fillId="7" borderId="64" xfId="0" applyFont="1" applyFill="1" applyBorder="1" applyAlignment="1">
      <alignment horizontal="center" vertical="center"/>
    </xf>
    <xf numFmtId="165" fontId="1" fillId="7" borderId="65" xfId="0" applyNumberFormat="1" applyFont="1" applyFill="1" applyBorder="1" applyAlignment="1">
      <alignment horizontal="center" vertical="center"/>
    </xf>
    <xf numFmtId="165" fontId="2" fillId="0" borderId="66" xfId="0" applyNumberFormat="1" applyFont="1" applyBorder="1" applyAlignment="1">
      <alignment horizontal="center" vertical="center"/>
    </xf>
    <xf numFmtId="165" fontId="2" fillId="0" borderId="29" xfId="0" applyNumberFormat="1" applyFont="1" applyBorder="1" applyAlignment="1">
      <alignment horizontal="center" vertical="center"/>
    </xf>
    <xf numFmtId="0" fontId="1" fillId="7" borderId="67" xfId="0" applyFont="1" applyFill="1" applyBorder="1" applyAlignment="1">
      <alignment horizontal="center" vertical="center"/>
    </xf>
    <xf numFmtId="165" fontId="1" fillId="7" borderId="68" xfId="0" applyNumberFormat="1" applyFont="1" applyFill="1" applyBorder="1" applyAlignment="1">
      <alignment horizontal="center" vertical="center"/>
    </xf>
    <xf numFmtId="0" fontId="2" fillId="0" borderId="66" xfId="0" applyFont="1" applyBorder="1" applyAlignment="1">
      <alignment horizontal="center" vertical="center"/>
    </xf>
    <xf numFmtId="0" fontId="2" fillId="0" borderId="69" xfId="0" applyFont="1" applyBorder="1" applyAlignment="1">
      <alignment horizontal="center" vertical="center"/>
    </xf>
    <xf numFmtId="165" fontId="2" fillId="0" borderId="50" xfId="0" applyNumberFormat="1" applyFont="1" applyBorder="1" applyAlignment="1">
      <alignment horizontal="center" vertical="center"/>
    </xf>
    <xf numFmtId="0" fontId="1" fillId="7" borderId="64" xfId="0" applyFont="1" applyFill="1" applyBorder="1" applyAlignment="1">
      <alignment horizontal="center" vertical="center" wrapText="1"/>
    </xf>
    <xf numFmtId="165" fontId="1" fillId="7" borderId="65" xfId="0" applyNumberFormat="1" applyFont="1" applyFill="1" applyBorder="1" applyAlignment="1">
      <alignment horizontal="center" vertical="center" wrapText="1"/>
    </xf>
    <xf numFmtId="0" fontId="0" fillId="0" borderId="66" xfId="0" applyBorder="1" applyAlignment="1">
      <alignment horizontal="center" vertical="center"/>
    </xf>
    <xf numFmtId="0" fontId="0" fillId="0" borderId="29" xfId="0" applyBorder="1" applyAlignment="1">
      <alignment horizontal="center" vertical="center"/>
    </xf>
    <xf numFmtId="0" fontId="1" fillId="7" borderId="67" xfId="0" applyFont="1" applyFill="1" applyBorder="1" applyAlignment="1">
      <alignment horizontal="center" vertical="center" wrapText="1"/>
    </xf>
    <xf numFmtId="165" fontId="1" fillId="7" borderId="68" xfId="0" applyNumberFormat="1" applyFont="1" applyFill="1" applyBorder="1" applyAlignment="1">
      <alignment horizontal="center" vertical="center" wrapText="1"/>
    </xf>
    <xf numFmtId="0" fontId="0" fillId="0" borderId="69" xfId="0" applyBorder="1" applyAlignment="1">
      <alignment vertical="center"/>
    </xf>
    <xf numFmtId="0" fontId="0" fillId="0" borderId="50" xfId="0" applyBorder="1" applyAlignment="1">
      <alignment vertical="center"/>
    </xf>
    <xf numFmtId="0" fontId="0" fillId="8" borderId="62" xfId="0" applyFill="1" applyBorder="1" applyAlignment="1">
      <alignment horizontal="right"/>
    </xf>
    <xf numFmtId="14" fontId="11" fillId="8" borderId="20" xfId="0" applyNumberFormat="1" applyFont="1" applyFill="1" applyBorder="1" applyAlignment="1">
      <alignment horizontal="center"/>
    </xf>
    <xf numFmtId="0" fontId="10" fillId="8" borderId="20" xfId="0" applyFont="1" applyFill="1" applyBorder="1" applyAlignment="1">
      <alignment horizontal="center"/>
    </xf>
    <xf numFmtId="0" fontId="10" fillId="8" borderId="72" xfId="0" applyFont="1" applyFill="1" applyBorder="1" applyAlignment="1">
      <alignment horizontal="center"/>
    </xf>
    <xf numFmtId="0" fontId="0" fillId="8" borderId="10" xfId="0" applyFill="1" applyBorder="1" applyAlignment="1">
      <alignment horizontal="right"/>
    </xf>
    <xf numFmtId="0" fontId="11" fillId="8" borderId="0" xfId="0" applyFont="1" applyFill="1"/>
    <xf numFmtId="0" fontId="0" fillId="8" borderId="0" xfId="0" applyFill="1"/>
    <xf numFmtId="0" fontId="0" fillId="8" borderId="73" xfId="0" applyFill="1" applyBorder="1"/>
    <xf numFmtId="0" fontId="0" fillId="8" borderId="16" xfId="0" applyFill="1" applyBorder="1" applyAlignment="1">
      <alignment horizontal="right"/>
    </xf>
    <xf numFmtId="0" fontId="11" fillId="8" borderId="17" xfId="0" applyFont="1" applyFill="1" applyBorder="1"/>
    <xf numFmtId="0" fontId="0" fillId="8" borderId="17" xfId="0" applyFill="1" applyBorder="1"/>
    <xf numFmtId="0" fontId="0" fillId="8" borderId="58" xfId="0" applyFill="1" applyBorder="1"/>
    <xf numFmtId="0" fontId="8" fillId="8" borderId="62" xfId="0" applyFont="1" applyFill="1" applyBorder="1" applyAlignment="1">
      <alignment horizontal="right"/>
    </xf>
    <xf numFmtId="0" fontId="8" fillId="8" borderId="16" xfId="0" applyFont="1" applyFill="1" applyBorder="1" applyAlignment="1">
      <alignment horizontal="right"/>
    </xf>
    <xf numFmtId="0" fontId="0" fillId="0" borderId="1" xfId="0" applyBorder="1" applyAlignment="1">
      <alignment horizontal="center" vertical="center"/>
    </xf>
    <xf numFmtId="0" fontId="4" fillId="0" borderId="35" xfId="0" applyFont="1" applyBorder="1" applyAlignment="1">
      <alignment horizontal="right" vertical="center"/>
    </xf>
    <xf numFmtId="0" fontId="4" fillId="0" borderId="36" xfId="0" applyFont="1" applyBorder="1" applyAlignment="1">
      <alignment horizontal="right" vertical="center"/>
    </xf>
    <xf numFmtId="0" fontId="1" fillId="2" borderId="5" xfId="0" applyFont="1" applyFill="1" applyBorder="1" applyAlignment="1">
      <alignment horizontal="center" vertical="center"/>
    </xf>
    <xf numFmtId="0" fontId="1" fillId="2" borderId="4" xfId="0" applyFont="1" applyFill="1" applyBorder="1" applyAlignment="1">
      <alignment horizontal="center" vertical="center"/>
    </xf>
    <xf numFmtId="0" fontId="1" fillId="0" borderId="6" xfId="0" applyFont="1" applyBorder="1" applyAlignment="1">
      <alignment horizontal="right" vertical="center"/>
    </xf>
    <xf numFmtId="0" fontId="1" fillId="0" borderId="7" xfId="0" applyFont="1" applyBorder="1" applyAlignment="1">
      <alignment horizontal="right" vertical="center"/>
    </xf>
    <xf numFmtId="0" fontId="1" fillId="0" borderId="8" xfId="0" applyFont="1" applyBorder="1" applyAlignment="1">
      <alignment horizontal="right" vertical="center"/>
    </xf>
    <xf numFmtId="0" fontId="2" fillId="0" borderId="10" xfId="0" applyFont="1" applyBorder="1" applyAlignment="1">
      <alignment horizontal="right" vertical="center"/>
    </xf>
    <xf numFmtId="0" fontId="2" fillId="0" borderId="0" xfId="0" applyFont="1" applyAlignment="1">
      <alignment horizontal="right" vertical="center"/>
    </xf>
    <xf numFmtId="0" fontId="2" fillId="0" borderId="11" xfId="0" applyFont="1" applyBorder="1" applyAlignment="1">
      <alignment horizontal="right" vertical="center"/>
    </xf>
    <xf numFmtId="0" fontId="4" fillId="0" borderId="51" xfId="0" applyFont="1" applyBorder="1" applyAlignment="1">
      <alignment horizontal="right" vertical="center"/>
    </xf>
    <xf numFmtId="0" fontId="4" fillId="0" borderId="32" xfId="0" applyFont="1" applyBorder="1" applyAlignment="1">
      <alignment horizontal="right" vertical="center"/>
    </xf>
    <xf numFmtId="0" fontId="1" fillId="3" borderId="5" xfId="0" applyFont="1" applyFill="1" applyBorder="1" applyAlignment="1">
      <alignment horizontal="center" vertical="center"/>
    </xf>
    <xf numFmtId="0" fontId="1" fillId="3" borderId="4" xfId="0" applyFont="1" applyFill="1" applyBorder="1" applyAlignment="1">
      <alignment horizontal="center" vertical="center"/>
    </xf>
    <xf numFmtId="0" fontId="1" fillId="0" borderId="5" xfId="0" applyFont="1" applyBorder="1" applyAlignment="1">
      <alignment horizontal="center" vertical="center"/>
    </xf>
    <xf numFmtId="0" fontId="1" fillId="0" borderId="4" xfId="0" applyFont="1" applyBorder="1" applyAlignment="1">
      <alignment horizontal="center" vertical="center"/>
    </xf>
    <xf numFmtId="0" fontId="1" fillId="0" borderId="2" xfId="0" applyFont="1" applyBorder="1" applyAlignment="1">
      <alignment horizontal="right" vertical="center"/>
    </xf>
    <xf numFmtId="0" fontId="1" fillId="0" borderId="3" xfId="0" applyFont="1" applyBorder="1" applyAlignment="1">
      <alignment horizontal="right" vertical="center"/>
    </xf>
    <xf numFmtId="0" fontId="1" fillId="0" borderId="4" xfId="0" applyFont="1" applyBorder="1" applyAlignment="1">
      <alignment horizontal="right" vertical="center"/>
    </xf>
    <xf numFmtId="0" fontId="2" fillId="0" borderId="59" xfId="0" applyFont="1" applyBorder="1" applyAlignment="1">
      <alignment horizontal="center" vertical="center"/>
    </xf>
    <xf numFmtId="0" fontId="2" fillId="0" borderId="60" xfId="0" applyFont="1" applyBorder="1" applyAlignment="1">
      <alignment horizontal="center" vertical="center"/>
    </xf>
    <xf numFmtId="0" fontId="2" fillId="0" borderId="21" xfId="0" applyFont="1" applyBorder="1" applyAlignment="1">
      <alignment horizontal="right" vertical="center"/>
    </xf>
    <xf numFmtId="0" fontId="2" fillId="0" borderId="22" xfId="0" applyFont="1" applyBorder="1" applyAlignment="1">
      <alignment horizontal="right" vertical="center"/>
    </xf>
    <xf numFmtId="0" fontId="2" fillId="0" borderId="23" xfId="0" applyFont="1" applyBorder="1" applyAlignment="1">
      <alignment horizontal="right" vertical="center"/>
    </xf>
    <xf numFmtId="0" fontId="4" fillId="0" borderId="54" xfId="0" applyFont="1" applyBorder="1" applyAlignment="1">
      <alignment horizontal="right" vertical="center"/>
    </xf>
    <xf numFmtId="0" fontId="4" fillId="0" borderId="55" xfId="0" applyFont="1" applyBorder="1" applyAlignment="1">
      <alignment horizontal="right" vertical="center"/>
    </xf>
    <xf numFmtId="0" fontId="4" fillId="0" borderId="37" xfId="0" applyFont="1" applyBorder="1" applyAlignment="1">
      <alignment horizontal="right" vertical="center"/>
    </xf>
    <xf numFmtId="0" fontId="4" fillId="0" borderId="13" xfId="0" applyFont="1" applyBorder="1" applyAlignment="1">
      <alignment horizontal="right" vertical="center"/>
    </xf>
    <xf numFmtId="0" fontId="4" fillId="0" borderId="30" xfId="0" applyFont="1" applyBorder="1" applyAlignment="1">
      <alignment horizontal="right" vertical="center"/>
    </xf>
    <xf numFmtId="0" fontId="4" fillId="0" borderId="31" xfId="0" applyFont="1" applyBorder="1" applyAlignment="1">
      <alignment horizontal="right" vertical="center"/>
    </xf>
    <xf numFmtId="0" fontId="0" fillId="0" borderId="0" xfId="0" applyAlignment="1">
      <alignment horizontal="right" vertical="center"/>
    </xf>
    <xf numFmtId="0" fontId="0" fillId="0" borderId="19" xfId="0" applyBorder="1" applyAlignment="1">
      <alignment horizontal="center" vertical="center" wrapText="1"/>
    </xf>
    <xf numFmtId="0" fontId="0" fillId="0" borderId="18" xfId="0" applyBorder="1" applyAlignment="1">
      <alignment horizontal="center" vertical="center" wrapText="1"/>
    </xf>
    <xf numFmtId="0" fontId="1" fillId="0" borderId="70" xfId="0" applyFont="1" applyBorder="1" applyAlignment="1">
      <alignment horizontal="center" vertical="center" wrapText="1"/>
    </xf>
    <xf numFmtId="0" fontId="1" fillId="0" borderId="61" xfId="0" applyFont="1" applyBorder="1" applyAlignment="1">
      <alignment horizontal="center" vertical="center" wrapText="1"/>
    </xf>
    <xf numFmtId="0" fontId="1" fillId="0" borderId="71" xfId="0" applyFont="1" applyBorder="1" applyAlignment="1">
      <alignment horizontal="center" vertical="center" wrapText="1"/>
    </xf>
    <xf numFmtId="0" fontId="0" fillId="0" borderId="64" xfId="0" applyBorder="1" applyAlignment="1">
      <alignment horizontal="right" vertical="center"/>
    </xf>
    <xf numFmtId="0" fontId="0" fillId="0" borderId="65" xfId="0" applyBorder="1" applyAlignment="1">
      <alignment horizontal="right" vertical="center"/>
    </xf>
    <xf numFmtId="0" fontId="7" fillId="0" borderId="66" xfId="0" applyFont="1" applyBorder="1" applyAlignment="1">
      <alignment horizontal="right" vertical="center"/>
    </xf>
    <xf numFmtId="0" fontId="7" fillId="0" borderId="29" xfId="0" applyFont="1" applyBorder="1" applyAlignment="1">
      <alignment horizontal="right" vertical="center"/>
    </xf>
    <xf numFmtId="0" fontId="2" fillId="0" borderId="67" xfId="0" applyFont="1" applyBorder="1" applyAlignment="1">
      <alignment horizontal="right" vertical="center"/>
    </xf>
    <xf numFmtId="0" fontId="0" fillId="0" borderId="68" xfId="0" applyBorder="1" applyAlignment="1">
      <alignment horizontal="right" vertical="center"/>
    </xf>
    <xf numFmtId="0" fontId="0" fillId="0" borderId="67" xfId="0" applyBorder="1" applyAlignment="1">
      <alignment horizontal="right" vertical="center"/>
    </xf>
    <xf numFmtId="0" fontId="0" fillId="0" borderId="66" xfId="0" applyBorder="1" applyAlignment="1">
      <alignment horizontal="right" vertical="center"/>
    </xf>
    <xf numFmtId="0" fontId="0" fillId="0" borderId="29" xfId="0" applyBorder="1" applyAlignment="1">
      <alignment horizontal="right" vertical="center"/>
    </xf>
    <xf numFmtId="0" fontId="0" fillId="0" borderId="69" xfId="0" applyBorder="1" applyAlignment="1">
      <alignment horizontal="right" vertical="center"/>
    </xf>
    <xf numFmtId="0" fontId="0" fillId="0" borderId="50" xfId="0" applyBorder="1" applyAlignment="1">
      <alignment horizontal="right" vertical="center"/>
    </xf>
    <xf numFmtId="0" fontId="0" fillId="0" borderId="0" xfId="0" applyAlignment="1">
      <alignment horizontal="right" vertical="center" wrapText="1"/>
    </xf>
    <xf numFmtId="0" fontId="3" fillId="7" borderId="21" xfId="0" applyFont="1" applyFill="1" applyBorder="1" applyAlignment="1">
      <alignment horizontal="center" vertical="center"/>
    </xf>
    <xf numFmtId="0" fontId="3" fillId="7" borderId="22" xfId="0" applyFont="1" applyFill="1" applyBorder="1" applyAlignment="1">
      <alignment horizontal="center" vertical="center"/>
    </xf>
    <xf numFmtId="0" fontId="3" fillId="7" borderId="23" xfId="0" applyFont="1" applyFill="1" applyBorder="1" applyAlignment="1">
      <alignment horizontal="center" vertical="center"/>
    </xf>
    <xf numFmtId="0" fontId="1" fillId="0" borderId="63" xfId="0" applyFont="1" applyBorder="1" applyAlignment="1">
      <alignment horizontal="center" vertical="center" wrapText="1"/>
    </xf>
    <xf numFmtId="0" fontId="1" fillId="0" borderId="0" xfId="0" applyFont="1" applyAlignment="1">
      <alignment horizontal="center" vertical="center" wrapText="1"/>
    </xf>
    <xf numFmtId="0" fontId="1" fillId="0" borderId="49" xfId="0" applyFont="1" applyBorder="1" applyAlignment="1">
      <alignment horizontal="center" vertical="center" wrapText="1"/>
    </xf>
    <xf numFmtId="0" fontId="2" fillId="4" borderId="14" xfId="0" applyFont="1" applyFill="1" applyBorder="1" applyAlignment="1" applyProtection="1">
      <alignment horizontal="center" vertical="center"/>
      <protection locked="0"/>
    </xf>
    <xf numFmtId="0" fontId="2" fillId="4" borderId="15" xfId="0" applyFont="1" applyFill="1" applyBorder="1" applyAlignment="1" applyProtection="1">
      <alignment horizontal="center" vertical="center"/>
      <protection locked="0"/>
    </xf>
    <xf numFmtId="0" fontId="2" fillId="0" borderId="16" xfId="0" applyFont="1" applyBorder="1" applyAlignment="1">
      <alignment horizontal="right" vertical="center"/>
    </xf>
    <xf numFmtId="0" fontId="2" fillId="0" borderId="17" xfId="0" applyFont="1" applyBorder="1" applyAlignment="1">
      <alignment horizontal="right" vertical="center"/>
    </xf>
    <xf numFmtId="0" fontId="2" fillId="0" borderId="18" xfId="0" applyFont="1" applyBorder="1" applyAlignment="1">
      <alignment horizontal="right" vertical="center"/>
    </xf>
    <xf numFmtId="0" fontId="4" fillId="0" borderId="27" xfId="0" applyFont="1" applyBorder="1" applyAlignment="1">
      <alignment horizontal="right" vertical="center"/>
    </xf>
    <xf numFmtId="0" fontId="4" fillId="0" borderId="28" xfId="0" applyFont="1" applyBorder="1" applyAlignment="1">
      <alignment horizontal="right" vertical="center"/>
    </xf>
    <xf numFmtId="0" fontId="4" fillId="0" borderId="33" xfId="0" applyFont="1" applyBorder="1" applyAlignment="1">
      <alignment horizontal="right" vertical="center"/>
    </xf>
    <xf numFmtId="0" fontId="4" fillId="0" borderId="34" xfId="0" applyFont="1" applyBorder="1" applyAlignment="1">
      <alignment horizontal="right" vertical="center"/>
    </xf>
    <xf numFmtId="0" fontId="4" fillId="6" borderId="37" xfId="0" applyFont="1" applyFill="1" applyBorder="1" applyAlignment="1">
      <alignment horizontal="right" vertical="center"/>
    </xf>
    <xf numFmtId="0" fontId="4" fillId="6" borderId="13" xfId="0" applyFont="1" applyFill="1" applyBorder="1" applyAlignment="1">
      <alignment horizontal="right" vertical="center"/>
    </xf>
    <xf numFmtId="1" fontId="2" fillId="4" borderId="42" xfId="0" applyNumberFormat="1" applyFont="1" applyFill="1" applyBorder="1" applyAlignment="1" applyProtection="1">
      <alignment horizontal="center" vertical="center"/>
      <protection locked="0"/>
    </xf>
    <xf numFmtId="0" fontId="2" fillId="4" borderId="41" xfId="0" applyFont="1" applyFill="1" applyBorder="1" applyAlignment="1" applyProtection="1">
      <alignment horizontal="center" vertical="center"/>
      <protection locked="0"/>
    </xf>
    <xf numFmtId="0" fontId="4" fillId="0" borderId="43" xfId="0" applyFont="1" applyBorder="1" applyAlignment="1">
      <alignment horizontal="right" vertical="center"/>
    </xf>
    <xf numFmtId="0" fontId="4" fillId="0" borderId="44" xfId="0" applyFont="1" applyBorder="1" applyAlignment="1">
      <alignment horizontal="right" vertical="center"/>
    </xf>
    <xf numFmtId="0" fontId="4" fillId="0" borderId="45" xfId="0" applyFont="1" applyBorder="1" applyAlignment="1">
      <alignment horizontal="right" vertical="center"/>
    </xf>
    <xf numFmtId="1" fontId="2" fillId="4" borderId="46" xfId="0" applyNumberFormat="1" applyFont="1" applyFill="1" applyBorder="1" applyAlignment="1" applyProtection="1">
      <alignment horizontal="center" vertical="center"/>
      <protection locked="0"/>
    </xf>
    <xf numFmtId="1" fontId="2" fillId="4" borderId="45" xfId="0" applyNumberFormat="1" applyFont="1" applyFill="1" applyBorder="1" applyAlignment="1" applyProtection="1">
      <alignment horizontal="center" vertical="center"/>
      <protection locked="0"/>
    </xf>
    <xf numFmtId="0" fontId="4" fillId="0" borderId="39" xfId="0" applyFont="1" applyBorder="1" applyAlignment="1">
      <alignment horizontal="right" vertical="center"/>
    </xf>
    <xf numFmtId="0" fontId="4" fillId="0" borderId="40" xfId="0" applyFont="1" applyBorder="1" applyAlignment="1">
      <alignment horizontal="right" vertical="center"/>
    </xf>
    <xf numFmtId="0" fontId="4" fillId="0" borderId="41" xfId="0" applyFont="1" applyBorder="1" applyAlignment="1">
      <alignment horizontal="right" vertical="center"/>
    </xf>
    <xf numFmtId="0" fontId="9" fillId="4" borderId="20" xfId="0" applyFont="1" applyFill="1" applyBorder="1" applyAlignment="1">
      <alignment horizontal="center"/>
    </xf>
    <xf numFmtId="0" fontId="9" fillId="4" borderId="72" xfId="0" applyFont="1" applyFill="1" applyBorder="1" applyAlignment="1">
      <alignment horizontal="center"/>
    </xf>
    <xf numFmtId="0" fontId="9" fillId="4" borderId="17" xfId="0" applyFont="1" applyFill="1" applyBorder="1" applyAlignment="1">
      <alignment horizontal="center"/>
    </xf>
    <xf numFmtId="0" fontId="9" fillId="4" borderId="58" xfId="0" applyFont="1" applyFill="1" applyBorder="1" applyAlignment="1">
      <alignment horizontal="center"/>
    </xf>
    <xf numFmtId="166" fontId="2" fillId="0" borderId="67" xfId="0" applyNumberFormat="1" applyFont="1" applyBorder="1" applyAlignment="1">
      <alignment horizontal="center" vertical="center"/>
    </xf>
    <xf numFmtId="166" fontId="2" fillId="0" borderId="68" xfId="0" applyNumberFormat="1" applyFont="1" applyBorder="1" applyAlignment="1">
      <alignment horizontal="center" vertical="center"/>
    </xf>
    <xf numFmtId="1" fontId="2" fillId="0" borderId="74" xfId="0" applyNumberFormat="1" applyFont="1" applyBorder="1" applyAlignment="1" applyProtection="1">
      <alignment horizontal="center" vertical="center"/>
      <protection locked="0"/>
    </xf>
    <xf numFmtId="1" fontId="2" fillId="0" borderId="75" xfId="0" applyNumberFormat="1" applyFont="1" applyBorder="1" applyAlignment="1" applyProtection="1">
      <alignment horizontal="center" vertical="center"/>
      <protection locked="0"/>
    </xf>
    <xf numFmtId="0" fontId="2" fillId="0" borderId="76" xfId="0" applyFont="1" applyBorder="1" applyAlignment="1">
      <alignment horizontal="center" vertical="center"/>
    </xf>
    <xf numFmtId="0" fontId="2" fillId="0" borderId="77" xfId="0" applyFont="1" applyBorder="1" applyAlignment="1">
      <alignment horizontal="center" vertical="center"/>
    </xf>
    <xf numFmtId="0" fontId="2" fillId="8" borderId="76" xfId="0" applyFont="1" applyFill="1" applyBorder="1" applyAlignment="1">
      <alignment horizontal="center" vertical="center"/>
    </xf>
    <xf numFmtId="0" fontId="2" fillId="8" borderId="77" xfId="0" applyFont="1" applyFill="1" applyBorder="1" applyAlignment="1">
      <alignment horizontal="center" vertical="center"/>
    </xf>
    <xf numFmtId="0" fontId="2" fillId="4" borderId="9" xfId="0" applyFont="1" applyFill="1" applyBorder="1" applyAlignment="1" applyProtection="1">
      <alignment horizontal="center" vertical="center"/>
      <protection locked="0"/>
    </xf>
    <xf numFmtId="0" fontId="2" fillId="4" borderId="8" xfId="0" applyFont="1" applyFill="1" applyBorder="1" applyAlignment="1" applyProtection="1">
      <alignment horizontal="center" vertical="center"/>
      <protection locked="0"/>
    </xf>
    <xf numFmtId="1" fontId="2" fillId="4" borderId="74" xfId="1" applyNumberFormat="1" applyFill="1" applyBorder="1" applyAlignment="1" applyProtection="1">
      <alignment horizontal="center" vertical="center"/>
      <protection locked="0"/>
    </xf>
    <xf numFmtId="1" fontId="2" fillId="4" borderId="75" xfId="1" applyNumberFormat="1" applyFill="1" applyBorder="1" applyAlignment="1" applyProtection="1">
      <alignment horizontal="center" vertical="center"/>
      <protection locked="0"/>
    </xf>
    <xf numFmtId="1" fontId="2" fillId="0" borderId="14" xfId="1" applyNumberFormat="1" applyBorder="1" applyAlignment="1" applyProtection="1">
      <alignment horizontal="center" vertical="center"/>
      <protection locked="0"/>
    </xf>
    <xf numFmtId="1" fontId="2" fillId="0" borderId="15" xfId="1" applyNumberFormat="1" applyBorder="1" applyAlignment="1" applyProtection="1">
      <alignment horizontal="center" vertical="center"/>
      <protection locked="0"/>
    </xf>
  </cellXfs>
  <cellStyles count="5">
    <cellStyle name="40% - Colore 3 2" xfId="4" xr:uid="{56177E67-E855-40DC-86C8-0ACFFE0ADD2D}"/>
    <cellStyle name="Normale" xfId="0" builtinId="0"/>
    <cellStyle name="Normale 2" xfId="1" xr:uid="{3A7CE47F-F9EF-4F1B-89E0-7F7A41B492F5}"/>
    <cellStyle name="PILA" xfId="2" xr:uid="{957747CE-3607-48CD-A76D-844A7D90466F}"/>
    <cellStyle name="TRANSIZIONE" xfId="3" xr:uid="{F0EFE004-6C23-471E-88C3-5C26C42E7B57}"/>
  </cellStyles>
  <dxfs count="153">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theme="3" tint="0.59996337778862885"/>
        </patternFill>
      </fill>
    </dxf>
    <dxf>
      <fill>
        <patternFill>
          <bgColor rgb="FFFFC000"/>
        </patternFill>
      </fill>
    </dxf>
    <dxf>
      <fill>
        <patternFill>
          <bgColor rgb="FFFFC00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theme="3" tint="0.59996337778862885"/>
        </patternFill>
      </fill>
    </dxf>
    <dxf>
      <fill>
        <patternFill>
          <bgColor rgb="FFFFC000"/>
        </patternFill>
      </fill>
    </dxf>
    <dxf>
      <fill>
        <patternFill>
          <bgColor rgb="FFFFC00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theme="3" tint="0.59996337778862885"/>
        </patternFill>
      </fill>
    </dxf>
    <dxf>
      <fill>
        <patternFill>
          <bgColor rgb="FFFFC000"/>
        </patternFill>
      </fill>
    </dxf>
    <dxf>
      <fill>
        <patternFill>
          <bgColor rgb="FFFFC000"/>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theme="3" tint="0.59996337778862885"/>
        </patternFill>
      </fill>
    </dxf>
    <dxf>
      <fill>
        <patternFill>
          <bgColor rgb="FFFFC000"/>
        </patternFill>
      </fill>
    </dxf>
    <dxf>
      <fill>
        <patternFill>
          <bgColor rgb="FFFFC000"/>
        </patternFill>
      </fill>
    </dxf>
    <dxf>
      <font>
        <color rgb="FF9C0006"/>
      </font>
      <fill>
        <patternFill>
          <bgColor rgb="FFFFC7CE"/>
        </patternFill>
      </fill>
    </dxf>
    <dxf>
      <font>
        <condense val="0"/>
        <extend val="0"/>
        <color rgb="FF9C6500"/>
      </font>
      <fill>
        <patternFill>
          <bgColor rgb="FFFFEB9C"/>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theme="3" tint="0.59996337778862885"/>
        </patternFill>
      </fill>
    </dxf>
    <dxf>
      <fill>
        <patternFill>
          <bgColor rgb="FFFFC000"/>
        </patternFill>
      </fill>
    </dxf>
    <dxf>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theme="3" tint="0.59996337778862885"/>
        </patternFill>
      </fill>
    </dxf>
    <dxf>
      <fill>
        <patternFill>
          <bgColor rgb="FFFFC000"/>
        </patternFill>
      </fill>
    </dxf>
    <dxf>
      <fill>
        <patternFill>
          <bgColor rgb="FFFFC000"/>
        </patternFill>
      </fill>
    </dxf>
    <dxf>
      <font>
        <color rgb="FF9C0006"/>
      </font>
      <fill>
        <patternFill>
          <bgColor rgb="FFFFC7CE"/>
        </patternFill>
      </fill>
    </dxf>
    <dxf>
      <font>
        <condense val="0"/>
        <extend val="0"/>
        <color rgb="FF9C6500"/>
      </font>
      <fill>
        <patternFill>
          <bgColor rgb="FFFFEB9C"/>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theme="3" tint="0.59996337778862885"/>
        </patternFill>
      </fill>
    </dxf>
    <dxf>
      <fill>
        <patternFill>
          <bgColor rgb="FFFFC000"/>
        </patternFill>
      </fill>
    </dxf>
    <dxf>
      <fill>
        <patternFill>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384A6-601C-4F30-B7D4-59055A57C74C}">
  <sheetPr codeName="Foglio8">
    <pageSetUpPr fitToPage="1"/>
  </sheetPr>
  <dimension ref="A1:Y103"/>
  <sheetViews>
    <sheetView topLeftCell="A15" zoomScale="85" zoomScaleNormal="85" workbookViewId="0">
      <selection activeCell="AA44" sqref="AA44"/>
    </sheetView>
  </sheetViews>
  <sheetFormatPr defaultRowHeight="15" x14ac:dyDescent="0.25"/>
  <cols>
    <col min="1" max="1" width="30.42578125" customWidth="1"/>
    <col min="2" max="2" width="16.42578125" bestFit="1" customWidth="1"/>
  </cols>
  <sheetData>
    <row r="1" spans="1:25" x14ac:dyDescent="0.25">
      <c r="A1" s="85" t="s">
        <v>104</v>
      </c>
      <c r="B1" s="163" t="s">
        <v>105</v>
      </c>
      <c r="C1" s="163"/>
      <c r="D1" s="163"/>
      <c r="E1" s="164"/>
    </row>
    <row r="2" spans="1:25" ht="15.75" thickBot="1" x14ac:dyDescent="0.3">
      <c r="A2" s="86" t="s">
        <v>106</v>
      </c>
      <c r="B2" s="165" t="s">
        <v>107</v>
      </c>
      <c r="C2" s="165"/>
      <c r="D2" s="165"/>
      <c r="E2" s="166"/>
    </row>
    <row r="3" spans="1:25" x14ac:dyDescent="0.25">
      <c r="A3" s="73" t="s">
        <v>108</v>
      </c>
      <c r="B3" s="74">
        <v>45128</v>
      </c>
      <c r="C3" s="75"/>
      <c r="D3" s="75"/>
      <c r="E3" s="76"/>
    </row>
    <row r="4" spans="1:25" x14ac:dyDescent="0.25">
      <c r="A4" s="77" t="s">
        <v>109</v>
      </c>
      <c r="B4" s="78" t="s">
        <v>228</v>
      </c>
      <c r="C4" s="79"/>
      <c r="D4" s="79"/>
      <c r="E4" s="80"/>
    </row>
    <row r="5" spans="1:25" ht="15.75" thickBot="1" x14ac:dyDescent="0.3">
      <c r="A5" s="81" t="s">
        <v>110</v>
      </c>
      <c r="B5" s="82" t="s">
        <v>130</v>
      </c>
      <c r="C5" s="83"/>
      <c r="D5" s="83"/>
      <c r="E5" s="84"/>
    </row>
    <row r="7" spans="1:25" ht="15.75" thickBot="1" x14ac:dyDescent="0.3">
      <c r="A7" s="1"/>
      <c r="B7" s="1"/>
      <c r="C7" s="2"/>
      <c r="D7" s="87" t="s">
        <v>29</v>
      </c>
      <c r="E7" s="87"/>
      <c r="F7" s="87" t="s">
        <v>41</v>
      </c>
      <c r="G7" s="87"/>
      <c r="H7" s="87" t="s">
        <v>41</v>
      </c>
      <c r="I7" s="87"/>
      <c r="J7" s="87" t="s">
        <v>41</v>
      </c>
      <c r="K7" s="87"/>
      <c r="L7" s="87" t="s">
        <v>30</v>
      </c>
      <c r="M7" s="87"/>
      <c r="N7" s="87" t="s">
        <v>41</v>
      </c>
      <c r="O7" s="87"/>
      <c r="P7" s="87" t="s">
        <v>41</v>
      </c>
      <c r="Q7" s="87"/>
      <c r="R7" s="87" t="s">
        <v>41</v>
      </c>
      <c r="S7" s="87"/>
      <c r="T7" s="87" t="s">
        <v>41</v>
      </c>
      <c r="U7" s="87"/>
      <c r="V7" s="87" t="s">
        <v>41</v>
      </c>
      <c r="W7" s="87"/>
      <c r="X7" s="87" t="s">
        <v>30</v>
      </c>
      <c r="Y7" s="87"/>
    </row>
    <row r="8" spans="1:25" ht="15.75" thickBot="1" x14ac:dyDescent="0.3">
      <c r="A8" s="104" t="s">
        <v>0</v>
      </c>
      <c r="B8" s="105"/>
      <c r="C8" s="106"/>
      <c r="D8" s="90">
        <v>1</v>
      </c>
      <c r="E8" s="91"/>
      <c r="F8" s="102">
        <v>2</v>
      </c>
      <c r="G8" s="103"/>
      <c r="H8" s="102">
        <v>3</v>
      </c>
      <c r="I8" s="103"/>
      <c r="J8" s="100">
        <v>4</v>
      </c>
      <c r="K8" s="101"/>
      <c r="L8" s="90">
        <v>5</v>
      </c>
      <c r="M8" s="91"/>
      <c r="N8" s="100">
        <v>6</v>
      </c>
      <c r="O8" s="101"/>
      <c r="P8" s="102">
        <v>7</v>
      </c>
      <c r="Q8" s="103"/>
      <c r="R8" s="102">
        <v>8</v>
      </c>
      <c r="S8" s="103"/>
      <c r="T8" s="102">
        <v>9</v>
      </c>
      <c r="U8" s="103"/>
      <c r="V8" s="100">
        <v>10</v>
      </c>
      <c r="W8" s="101"/>
      <c r="X8" s="90">
        <v>11</v>
      </c>
      <c r="Y8" s="91"/>
    </row>
    <row r="9" spans="1:25" ht="16.5" thickTop="1" thickBot="1" x14ac:dyDescent="0.3">
      <c r="A9" s="92" t="s">
        <v>1</v>
      </c>
      <c r="B9" s="93"/>
      <c r="C9" s="94"/>
      <c r="D9" s="3" t="s">
        <v>2</v>
      </c>
      <c r="E9" s="3" t="s">
        <v>2</v>
      </c>
      <c r="F9" s="3" t="s">
        <v>2</v>
      </c>
      <c r="G9" s="3" t="s">
        <v>2</v>
      </c>
      <c r="H9" s="3" t="s">
        <v>2</v>
      </c>
      <c r="I9" s="3" t="s">
        <v>2</v>
      </c>
      <c r="J9" s="3" t="s">
        <v>2</v>
      </c>
      <c r="K9" s="3" t="s">
        <v>2</v>
      </c>
      <c r="L9" s="3" t="s">
        <v>2</v>
      </c>
      <c r="M9" s="3" t="s">
        <v>2</v>
      </c>
      <c r="N9" s="3" t="s">
        <v>2</v>
      </c>
      <c r="O9" s="3" t="s">
        <v>2</v>
      </c>
      <c r="P9" s="3" t="s">
        <v>2</v>
      </c>
      <c r="Q9" s="3" t="s">
        <v>2</v>
      </c>
      <c r="R9" s="3" t="s">
        <v>2</v>
      </c>
      <c r="S9" s="3" t="s">
        <v>2</v>
      </c>
      <c r="T9" s="3" t="s">
        <v>2</v>
      </c>
      <c r="U9" s="3" t="s">
        <v>2</v>
      </c>
      <c r="V9" s="3" t="s">
        <v>2</v>
      </c>
      <c r="W9" s="3" t="s">
        <v>2</v>
      </c>
      <c r="X9" s="3" t="s">
        <v>2</v>
      </c>
      <c r="Y9" s="3" t="s">
        <v>2</v>
      </c>
    </row>
    <row r="10" spans="1:25" ht="15.75" thickTop="1" x14ac:dyDescent="0.25">
      <c r="A10" s="95" t="s">
        <v>3</v>
      </c>
      <c r="B10" s="96"/>
      <c r="C10" s="97"/>
      <c r="D10" s="7">
        <v>5</v>
      </c>
      <c r="E10" s="7">
        <v>26</v>
      </c>
      <c r="F10" s="7">
        <v>5</v>
      </c>
      <c r="G10" s="7">
        <v>20</v>
      </c>
      <c r="H10" s="7">
        <v>5</v>
      </c>
      <c r="I10" s="7">
        <v>20</v>
      </c>
      <c r="J10" s="7">
        <v>10</v>
      </c>
      <c r="K10" s="7">
        <v>26</v>
      </c>
      <c r="L10" s="7">
        <v>10</v>
      </c>
      <c r="M10" s="7">
        <v>26</v>
      </c>
      <c r="N10" s="7">
        <v>10</v>
      </c>
      <c r="O10" s="7">
        <v>26</v>
      </c>
      <c r="P10" s="7">
        <v>10</v>
      </c>
      <c r="Q10" s="7">
        <v>22</v>
      </c>
      <c r="R10" s="7">
        <v>10</v>
      </c>
      <c r="S10" s="7">
        <v>16</v>
      </c>
      <c r="T10" s="7">
        <v>10</v>
      </c>
      <c r="U10" s="7">
        <v>22</v>
      </c>
      <c r="V10" s="7">
        <v>10</v>
      </c>
      <c r="W10" s="7">
        <v>26</v>
      </c>
      <c r="X10" s="7">
        <v>10</v>
      </c>
      <c r="Y10" s="7">
        <v>26</v>
      </c>
    </row>
    <row r="11" spans="1:25" ht="16.5" customHeight="1" x14ac:dyDescent="0.25">
      <c r="A11" s="95" t="s">
        <v>42</v>
      </c>
      <c r="B11" s="96"/>
      <c r="C11" s="97"/>
      <c r="D11" s="179">
        <v>2654.6457922833752</v>
      </c>
      <c r="E11" s="180"/>
      <c r="F11" s="179">
        <v>1570.7963267948965</v>
      </c>
      <c r="G11" s="180"/>
      <c r="H11" s="179">
        <v>1570.7963267948965</v>
      </c>
      <c r="I11" s="180"/>
      <c r="J11" s="179">
        <v>5309.2915845667503</v>
      </c>
      <c r="K11" s="180"/>
      <c r="L11" s="179">
        <v>5309.2915845667503</v>
      </c>
      <c r="M11" s="180"/>
      <c r="N11" s="179">
        <v>5309.2915845667503</v>
      </c>
      <c r="O11" s="180"/>
      <c r="P11" s="179">
        <v>3801.3271108436497</v>
      </c>
      <c r="Q11" s="180"/>
      <c r="R11" s="179">
        <v>2010.6192982974676</v>
      </c>
      <c r="S11" s="180"/>
      <c r="T11" s="179">
        <v>3801.3271108436497</v>
      </c>
      <c r="U11" s="180"/>
      <c r="V11" s="179">
        <v>5309.2915845667503</v>
      </c>
      <c r="W11" s="180"/>
      <c r="X11" s="179">
        <v>5309.2915845667503</v>
      </c>
      <c r="Y11" s="180"/>
    </row>
    <row r="12" spans="1:25" ht="16.5" customHeight="1" thickBot="1" x14ac:dyDescent="0.3">
      <c r="A12" s="95" t="s">
        <v>43</v>
      </c>
      <c r="B12" s="96"/>
      <c r="C12" s="97"/>
      <c r="D12" s="177">
        <v>50</v>
      </c>
      <c r="E12" s="178"/>
      <c r="F12" s="177">
        <v>50</v>
      </c>
      <c r="G12" s="178"/>
      <c r="H12" s="177">
        <v>50</v>
      </c>
      <c r="I12" s="178"/>
      <c r="J12" s="177">
        <v>50</v>
      </c>
      <c r="K12" s="178"/>
      <c r="L12" s="177">
        <v>50</v>
      </c>
      <c r="M12" s="178"/>
      <c r="N12" s="177">
        <v>50</v>
      </c>
      <c r="O12" s="178"/>
      <c r="P12" s="177">
        <v>50</v>
      </c>
      <c r="Q12" s="178"/>
      <c r="R12" s="177">
        <v>50</v>
      </c>
      <c r="S12" s="178"/>
      <c r="T12" s="177">
        <v>50</v>
      </c>
      <c r="U12" s="178"/>
      <c r="V12" s="177">
        <v>50</v>
      </c>
      <c r="W12" s="178"/>
      <c r="X12" s="177">
        <v>50</v>
      </c>
      <c r="Y12" s="178"/>
    </row>
    <row r="13" spans="1:25" ht="16.5" customHeight="1" thickTop="1" x14ac:dyDescent="0.25">
      <c r="A13" s="95" t="s">
        <v>4</v>
      </c>
      <c r="B13" s="96"/>
      <c r="C13" s="97"/>
      <c r="D13" s="7"/>
      <c r="E13" s="7"/>
      <c r="F13" s="7"/>
      <c r="G13" s="7"/>
      <c r="H13" s="7"/>
      <c r="I13" s="7"/>
      <c r="J13" s="7">
        <v>10</v>
      </c>
      <c r="K13" s="7">
        <v>26</v>
      </c>
      <c r="L13" s="7">
        <v>10</v>
      </c>
      <c r="M13" s="7">
        <v>26</v>
      </c>
      <c r="N13" s="7">
        <v>10</v>
      </c>
      <c r="O13" s="7">
        <v>26</v>
      </c>
      <c r="P13" s="7"/>
      <c r="Q13" s="7"/>
      <c r="R13" s="7"/>
      <c r="S13" s="7"/>
      <c r="T13" s="7"/>
      <c r="U13" s="7"/>
      <c r="V13" s="7">
        <v>10</v>
      </c>
      <c r="W13" s="7">
        <v>26</v>
      </c>
      <c r="X13" s="7">
        <v>10</v>
      </c>
      <c r="Y13" s="7">
        <v>26</v>
      </c>
    </row>
    <row r="14" spans="1:25" ht="16.5" customHeight="1" x14ac:dyDescent="0.25">
      <c r="A14" s="95" t="s">
        <v>44</v>
      </c>
      <c r="B14" s="96"/>
      <c r="C14" s="97"/>
      <c r="D14" s="179">
        <v>0</v>
      </c>
      <c r="E14" s="180"/>
      <c r="F14" s="179">
        <v>0</v>
      </c>
      <c r="G14" s="180"/>
      <c r="H14" s="179">
        <v>0</v>
      </c>
      <c r="I14" s="180"/>
      <c r="J14" s="179">
        <v>5309.2915845667503</v>
      </c>
      <c r="K14" s="180"/>
      <c r="L14" s="179">
        <v>5309.2915845667503</v>
      </c>
      <c r="M14" s="180"/>
      <c r="N14" s="179">
        <v>5309.2915845667503</v>
      </c>
      <c r="O14" s="180"/>
      <c r="P14" s="179">
        <v>0</v>
      </c>
      <c r="Q14" s="180"/>
      <c r="R14" s="179">
        <v>0</v>
      </c>
      <c r="S14" s="180"/>
      <c r="T14" s="179">
        <v>0</v>
      </c>
      <c r="U14" s="180"/>
      <c r="V14" s="179">
        <v>5309.2915845667503</v>
      </c>
      <c r="W14" s="180"/>
      <c r="X14" s="179">
        <v>5309.2915845667503</v>
      </c>
      <c r="Y14" s="180"/>
    </row>
    <row r="15" spans="1:25" ht="16.5" customHeight="1" thickBot="1" x14ac:dyDescent="0.3">
      <c r="A15" s="95" t="s">
        <v>5</v>
      </c>
      <c r="B15" s="96"/>
      <c r="C15" s="97"/>
      <c r="D15" s="177">
        <v>289</v>
      </c>
      <c r="E15" s="178"/>
      <c r="F15" s="177">
        <v>289</v>
      </c>
      <c r="G15" s="178"/>
      <c r="H15" s="177">
        <v>289</v>
      </c>
      <c r="I15" s="178"/>
      <c r="J15" s="177">
        <v>270</v>
      </c>
      <c r="K15" s="178"/>
      <c r="L15" s="177">
        <v>270</v>
      </c>
      <c r="M15" s="178"/>
      <c r="N15" s="177">
        <v>270</v>
      </c>
      <c r="O15" s="178"/>
      <c r="P15" s="177">
        <v>289</v>
      </c>
      <c r="Q15" s="178"/>
      <c r="R15" s="177">
        <v>289</v>
      </c>
      <c r="S15" s="178"/>
      <c r="T15" s="177">
        <v>289</v>
      </c>
      <c r="U15" s="178"/>
      <c r="V15" s="177">
        <v>270</v>
      </c>
      <c r="W15" s="178"/>
      <c r="X15" s="177">
        <v>270</v>
      </c>
      <c r="Y15" s="178"/>
    </row>
    <row r="16" spans="1:25" ht="16.5" customHeight="1" thickTop="1" x14ac:dyDescent="0.25">
      <c r="A16" s="95" t="s">
        <v>45</v>
      </c>
      <c r="B16" s="96"/>
      <c r="C16" s="97"/>
      <c r="D16" s="175">
        <v>0</v>
      </c>
      <c r="E16" s="176"/>
      <c r="F16" s="175">
        <v>0</v>
      </c>
      <c r="G16" s="176"/>
      <c r="H16" s="175">
        <v>0</v>
      </c>
      <c r="I16" s="176"/>
      <c r="J16" s="175">
        <v>0</v>
      </c>
      <c r="K16" s="176"/>
      <c r="L16" s="175">
        <v>0</v>
      </c>
      <c r="M16" s="176"/>
      <c r="N16" s="175">
        <v>0</v>
      </c>
      <c r="O16" s="176"/>
      <c r="P16" s="175">
        <v>0</v>
      </c>
      <c r="Q16" s="176"/>
      <c r="R16" s="175">
        <v>0</v>
      </c>
      <c r="S16" s="176"/>
      <c r="T16" s="175">
        <v>0</v>
      </c>
      <c r="U16" s="176"/>
      <c r="V16" s="175">
        <v>0</v>
      </c>
      <c r="W16" s="176"/>
      <c r="X16" s="175">
        <v>0</v>
      </c>
      <c r="Y16" s="176"/>
    </row>
    <row r="17" spans="1:25" ht="16.5" customHeight="1" x14ac:dyDescent="0.25">
      <c r="A17" s="4"/>
      <c r="B17" s="5"/>
      <c r="C17" s="6" t="s">
        <v>6</v>
      </c>
      <c r="D17" s="142">
        <v>0</v>
      </c>
      <c r="E17" s="143"/>
      <c r="F17" s="142">
        <v>0</v>
      </c>
      <c r="G17" s="143"/>
      <c r="H17" s="142">
        <v>0</v>
      </c>
      <c r="I17" s="143"/>
      <c r="J17" s="142">
        <v>0</v>
      </c>
      <c r="K17" s="143"/>
      <c r="L17" s="142">
        <v>0</v>
      </c>
      <c r="M17" s="143"/>
      <c r="N17" s="142">
        <v>0</v>
      </c>
      <c r="O17" s="143"/>
      <c r="P17" s="142">
        <v>0</v>
      </c>
      <c r="Q17" s="143"/>
      <c r="R17" s="142">
        <v>0</v>
      </c>
      <c r="S17" s="143"/>
      <c r="T17" s="142">
        <v>0</v>
      </c>
      <c r="U17" s="143"/>
      <c r="V17" s="142">
        <v>0</v>
      </c>
      <c r="W17" s="143"/>
      <c r="X17" s="142">
        <v>0</v>
      </c>
      <c r="Y17" s="143"/>
    </row>
    <row r="18" spans="1:25" ht="16.5" customHeight="1" x14ac:dyDescent="0.25">
      <c r="A18" s="95" t="s">
        <v>7</v>
      </c>
      <c r="B18" s="96"/>
      <c r="C18" s="97"/>
      <c r="D18" s="142">
        <v>14300</v>
      </c>
      <c r="E18" s="143"/>
      <c r="F18" s="142">
        <v>14300</v>
      </c>
      <c r="G18" s="143"/>
      <c r="H18" s="142">
        <v>14300</v>
      </c>
      <c r="I18" s="143"/>
      <c r="J18" s="142">
        <v>14300</v>
      </c>
      <c r="K18" s="143"/>
      <c r="L18" s="142">
        <v>14300</v>
      </c>
      <c r="M18" s="143"/>
      <c r="N18" s="142">
        <v>14300</v>
      </c>
      <c r="O18" s="143"/>
      <c r="P18" s="142">
        <v>14300</v>
      </c>
      <c r="Q18" s="143"/>
      <c r="R18" s="142">
        <v>14300</v>
      </c>
      <c r="S18" s="143"/>
      <c r="T18" s="142">
        <v>14300</v>
      </c>
      <c r="U18" s="143"/>
      <c r="V18" s="142">
        <v>14300</v>
      </c>
      <c r="W18" s="143"/>
      <c r="X18" s="142">
        <v>14300</v>
      </c>
      <c r="Y18" s="143"/>
    </row>
    <row r="19" spans="1:25" ht="16.5" customHeight="1" x14ac:dyDescent="0.25">
      <c r="A19" s="95" t="s">
        <v>8</v>
      </c>
      <c r="B19" s="96"/>
      <c r="C19" s="97"/>
      <c r="D19" s="142">
        <v>2650</v>
      </c>
      <c r="E19" s="143"/>
      <c r="F19" s="142">
        <v>2650</v>
      </c>
      <c r="G19" s="143"/>
      <c r="H19" s="142">
        <v>2650</v>
      </c>
      <c r="I19" s="143"/>
      <c r="J19" s="142">
        <v>2650</v>
      </c>
      <c r="K19" s="143"/>
      <c r="L19" s="142">
        <v>2650</v>
      </c>
      <c r="M19" s="143"/>
      <c r="N19" s="142">
        <v>2650</v>
      </c>
      <c r="O19" s="143"/>
      <c r="P19" s="142">
        <v>2650</v>
      </c>
      <c r="Q19" s="143"/>
      <c r="R19" s="142">
        <v>2650</v>
      </c>
      <c r="S19" s="143"/>
      <c r="T19" s="142">
        <v>2650</v>
      </c>
      <c r="U19" s="143"/>
      <c r="V19" s="142">
        <v>2650</v>
      </c>
      <c r="W19" s="143"/>
      <c r="X19" s="142">
        <v>2650</v>
      </c>
      <c r="Y19" s="143"/>
    </row>
    <row r="20" spans="1:25" ht="16.5" customHeight="1" thickBot="1" x14ac:dyDescent="0.3">
      <c r="A20" s="144" t="s">
        <v>9</v>
      </c>
      <c r="B20" s="145"/>
      <c r="C20" s="146"/>
      <c r="D20" s="9">
        <v>0</v>
      </c>
      <c r="E20" s="10">
        <v>0</v>
      </c>
      <c r="F20" s="9">
        <v>0</v>
      </c>
      <c r="G20" s="10">
        <v>0</v>
      </c>
      <c r="H20" s="9">
        <v>0</v>
      </c>
      <c r="I20" s="10">
        <v>0</v>
      </c>
      <c r="J20" s="9">
        <v>0</v>
      </c>
      <c r="K20" s="10">
        <v>0</v>
      </c>
      <c r="L20" s="9">
        <v>0</v>
      </c>
      <c r="M20" s="10">
        <v>0</v>
      </c>
      <c r="N20" s="9">
        <v>0</v>
      </c>
      <c r="O20" s="10">
        <v>0</v>
      </c>
      <c r="P20" s="9">
        <v>0</v>
      </c>
      <c r="Q20" s="10">
        <v>0</v>
      </c>
      <c r="R20" s="9">
        <v>0</v>
      </c>
      <c r="S20" s="10">
        <v>0</v>
      </c>
      <c r="T20" s="9">
        <v>0</v>
      </c>
      <c r="U20" s="10">
        <v>0</v>
      </c>
      <c r="V20" s="9">
        <v>0</v>
      </c>
      <c r="W20" s="10">
        <v>0</v>
      </c>
      <c r="X20" s="9">
        <v>0</v>
      </c>
      <c r="Y20" s="10">
        <v>0</v>
      </c>
    </row>
    <row r="21" spans="1:25" ht="18.75" thickBot="1" x14ac:dyDescent="0.3">
      <c r="A21" s="136" t="s">
        <v>10</v>
      </c>
      <c r="B21" s="137"/>
      <c r="C21" s="137"/>
      <c r="D21" s="137"/>
      <c r="E21" s="137"/>
      <c r="F21" s="137"/>
      <c r="G21" s="137"/>
      <c r="H21" s="137"/>
      <c r="I21" s="137"/>
      <c r="J21" s="138"/>
      <c r="K21" s="11"/>
      <c r="L21" s="12"/>
      <c r="M21" s="12"/>
      <c r="N21" s="11"/>
      <c r="O21" s="11"/>
      <c r="P21" s="11"/>
      <c r="Q21" s="11"/>
      <c r="R21" s="11"/>
      <c r="S21" s="11"/>
      <c r="T21" s="11"/>
      <c r="U21" s="11"/>
      <c r="V21" s="11"/>
      <c r="W21" s="11"/>
      <c r="X21" s="12"/>
      <c r="Y21" s="11"/>
    </row>
    <row r="22" spans="1:25" ht="16.5" customHeight="1" thickBot="1" x14ac:dyDescent="0.3">
      <c r="A22" s="13"/>
      <c r="B22" s="14"/>
      <c r="C22" s="8" t="s">
        <v>11</v>
      </c>
      <c r="D22" s="15">
        <v>184</v>
      </c>
      <c r="E22" s="16">
        <v>106.8</v>
      </c>
      <c r="F22" s="15">
        <v>184</v>
      </c>
      <c r="G22" s="16">
        <v>131.625</v>
      </c>
      <c r="H22" s="15">
        <v>184</v>
      </c>
      <c r="I22" s="16">
        <v>105.3</v>
      </c>
      <c r="J22" s="15">
        <v>184</v>
      </c>
      <c r="K22" s="16">
        <v>87.5</v>
      </c>
      <c r="L22" s="15">
        <v>184</v>
      </c>
      <c r="M22" s="16">
        <v>85</v>
      </c>
      <c r="N22" s="17">
        <v>230</v>
      </c>
      <c r="O22" s="18">
        <v>86.666666666666671</v>
      </c>
      <c r="P22" s="17">
        <v>230</v>
      </c>
      <c r="Q22" s="18">
        <v>105.3</v>
      </c>
      <c r="R22" s="17">
        <v>230</v>
      </c>
      <c r="S22" s="18">
        <v>131.625</v>
      </c>
      <c r="T22" s="17">
        <v>230</v>
      </c>
      <c r="U22" s="18">
        <v>105.6</v>
      </c>
      <c r="V22" s="17">
        <v>230</v>
      </c>
      <c r="W22" s="18">
        <v>87.5</v>
      </c>
      <c r="X22" s="15">
        <v>230</v>
      </c>
      <c r="Y22" s="16">
        <v>85</v>
      </c>
    </row>
    <row r="23" spans="1:25" ht="15.75" thickBot="1" x14ac:dyDescent="0.3">
      <c r="A23" s="104" t="s">
        <v>0</v>
      </c>
      <c r="B23" s="105"/>
      <c r="C23" s="106"/>
      <c r="D23" s="90">
        <v>1</v>
      </c>
      <c r="E23" s="91"/>
      <c r="F23" s="102">
        <v>2</v>
      </c>
      <c r="G23" s="103"/>
      <c r="H23" s="102">
        <v>3</v>
      </c>
      <c r="I23" s="103"/>
      <c r="J23" s="100">
        <v>4</v>
      </c>
      <c r="K23" s="101"/>
      <c r="L23" s="90">
        <v>5</v>
      </c>
      <c r="M23" s="91"/>
      <c r="N23" s="100">
        <v>6</v>
      </c>
      <c r="O23" s="101"/>
      <c r="P23" s="102">
        <v>7</v>
      </c>
      <c r="Q23" s="103"/>
      <c r="R23" s="102">
        <v>8</v>
      </c>
      <c r="S23" s="103"/>
      <c r="T23" s="102">
        <v>9</v>
      </c>
      <c r="U23" s="103"/>
      <c r="V23" s="100">
        <v>10</v>
      </c>
      <c r="W23" s="101"/>
      <c r="X23" s="90">
        <v>11</v>
      </c>
      <c r="Y23" s="91"/>
    </row>
    <row r="24" spans="1:25" ht="16.5" customHeight="1" thickTop="1" thickBot="1" x14ac:dyDescent="0.3">
      <c r="A24" s="147" t="s">
        <v>12</v>
      </c>
      <c r="B24" s="148"/>
      <c r="C24" s="148"/>
      <c r="D24" s="173">
        <v>38500</v>
      </c>
      <c r="E24" s="174"/>
      <c r="F24" s="173">
        <v>38500</v>
      </c>
      <c r="G24" s="174"/>
      <c r="H24" s="171">
        <v>38500</v>
      </c>
      <c r="I24" s="172"/>
      <c r="J24" s="171">
        <v>38500</v>
      </c>
      <c r="K24" s="172"/>
      <c r="L24" s="171">
        <v>38500</v>
      </c>
      <c r="M24" s="172"/>
      <c r="N24" s="171">
        <v>50000</v>
      </c>
      <c r="O24" s="172"/>
      <c r="P24" s="171">
        <v>50000</v>
      </c>
      <c r="Q24" s="172"/>
      <c r="R24" s="171">
        <v>50000</v>
      </c>
      <c r="S24" s="172"/>
      <c r="T24" s="171">
        <v>50000</v>
      </c>
      <c r="U24" s="172"/>
      <c r="V24" s="171">
        <v>50000</v>
      </c>
      <c r="W24" s="172"/>
      <c r="X24" s="171">
        <v>50000</v>
      </c>
      <c r="Y24" s="172"/>
    </row>
    <row r="25" spans="1:25" ht="15.75" thickTop="1" x14ac:dyDescent="0.25">
      <c r="A25" s="116" t="s">
        <v>13</v>
      </c>
      <c r="B25" s="117"/>
      <c r="C25" s="117"/>
      <c r="D25" s="19">
        <v>9000</v>
      </c>
      <c r="E25" s="19">
        <v>9000</v>
      </c>
      <c r="F25" s="19">
        <v>9000</v>
      </c>
      <c r="G25" s="19">
        <v>9000</v>
      </c>
      <c r="H25" s="19">
        <v>9000</v>
      </c>
      <c r="I25" s="19">
        <v>9000</v>
      </c>
      <c r="J25" s="19">
        <v>9000</v>
      </c>
      <c r="K25" s="19">
        <v>9000</v>
      </c>
      <c r="L25" s="19">
        <v>9000</v>
      </c>
      <c r="M25" s="19">
        <v>9000</v>
      </c>
      <c r="N25" s="19">
        <v>9000</v>
      </c>
      <c r="O25" s="19">
        <v>9000</v>
      </c>
      <c r="P25" s="19">
        <v>9000</v>
      </c>
      <c r="Q25" s="19">
        <v>9000</v>
      </c>
      <c r="R25" s="19">
        <v>9000</v>
      </c>
      <c r="S25" s="19">
        <v>9000</v>
      </c>
      <c r="T25" s="19">
        <v>9000</v>
      </c>
      <c r="U25" s="19">
        <v>9000</v>
      </c>
      <c r="V25" s="19">
        <v>9000</v>
      </c>
      <c r="W25" s="19">
        <v>9000</v>
      </c>
      <c r="X25" s="19">
        <v>9000</v>
      </c>
      <c r="Y25" s="19">
        <v>9000</v>
      </c>
    </row>
    <row r="26" spans="1:25" ht="16.5" customHeight="1" x14ac:dyDescent="0.25">
      <c r="A26" s="149" t="s">
        <v>14</v>
      </c>
      <c r="B26" s="150"/>
      <c r="C26" s="150"/>
      <c r="D26" s="20">
        <v>0</v>
      </c>
      <c r="E26" s="21">
        <v>0</v>
      </c>
      <c r="F26" s="20">
        <v>0</v>
      </c>
      <c r="G26" s="21">
        <v>0</v>
      </c>
      <c r="H26" s="20">
        <v>0</v>
      </c>
      <c r="I26" s="21">
        <v>0</v>
      </c>
      <c r="J26" s="20">
        <v>0</v>
      </c>
      <c r="K26" s="21">
        <v>0</v>
      </c>
      <c r="L26" s="20">
        <v>0</v>
      </c>
      <c r="M26" s="21">
        <v>0</v>
      </c>
      <c r="N26" s="20">
        <v>0</v>
      </c>
      <c r="O26" s="21">
        <v>0</v>
      </c>
      <c r="P26" s="20">
        <v>0</v>
      </c>
      <c r="Q26" s="21">
        <v>0</v>
      </c>
      <c r="R26" s="20">
        <v>0</v>
      </c>
      <c r="S26" s="21">
        <v>0</v>
      </c>
      <c r="T26" s="20">
        <v>0</v>
      </c>
      <c r="U26" s="21">
        <v>0</v>
      </c>
      <c r="V26" s="20">
        <v>0</v>
      </c>
      <c r="W26" s="21">
        <v>0</v>
      </c>
      <c r="X26" s="20">
        <v>0</v>
      </c>
      <c r="Y26" s="21">
        <v>0</v>
      </c>
    </row>
    <row r="27" spans="1:25" x14ac:dyDescent="0.25">
      <c r="A27" s="88" t="s">
        <v>15</v>
      </c>
      <c r="B27" s="89"/>
      <c r="C27" s="89"/>
      <c r="D27" s="22">
        <v>9000</v>
      </c>
      <c r="E27" s="22">
        <v>9000</v>
      </c>
      <c r="F27" s="22">
        <v>9000</v>
      </c>
      <c r="G27" s="22">
        <v>9000</v>
      </c>
      <c r="H27" s="22">
        <v>9000</v>
      </c>
      <c r="I27" s="22">
        <v>9000</v>
      </c>
      <c r="J27" s="22">
        <v>9000</v>
      </c>
      <c r="K27" s="22">
        <v>9000</v>
      </c>
      <c r="L27" s="22">
        <v>9000</v>
      </c>
      <c r="M27" s="22">
        <v>9000</v>
      </c>
      <c r="N27" s="22">
        <v>9000</v>
      </c>
      <c r="O27" s="22">
        <v>9000</v>
      </c>
      <c r="P27" s="22">
        <v>9000</v>
      </c>
      <c r="Q27" s="22">
        <v>9000</v>
      </c>
      <c r="R27" s="22">
        <v>9000</v>
      </c>
      <c r="S27" s="22">
        <v>9000</v>
      </c>
      <c r="T27" s="22">
        <v>9000</v>
      </c>
      <c r="U27" s="22">
        <v>9000</v>
      </c>
      <c r="V27" s="22">
        <v>9000</v>
      </c>
      <c r="W27" s="22">
        <v>9000</v>
      </c>
      <c r="X27" s="22">
        <v>9000</v>
      </c>
      <c r="Y27" s="22">
        <v>9000</v>
      </c>
    </row>
    <row r="28" spans="1:25" ht="16.5" customHeight="1" x14ac:dyDescent="0.25">
      <c r="A28" s="151" t="s">
        <v>16</v>
      </c>
      <c r="B28" s="152"/>
      <c r="C28" s="152"/>
      <c r="D28" s="142">
        <v>7000</v>
      </c>
      <c r="E28" s="143"/>
      <c r="F28" s="142">
        <v>11000</v>
      </c>
      <c r="G28" s="143"/>
      <c r="H28" s="142">
        <v>10000</v>
      </c>
      <c r="I28" s="143"/>
      <c r="J28" s="142">
        <v>5500</v>
      </c>
      <c r="K28" s="143"/>
      <c r="L28" s="142">
        <v>10000</v>
      </c>
      <c r="M28" s="143"/>
      <c r="N28" s="142">
        <v>7500</v>
      </c>
      <c r="O28" s="143"/>
      <c r="P28" s="142">
        <v>7500</v>
      </c>
      <c r="Q28" s="143"/>
      <c r="R28" s="142">
        <v>10000</v>
      </c>
      <c r="S28" s="143"/>
      <c r="T28" s="142">
        <v>7500</v>
      </c>
      <c r="U28" s="143"/>
      <c r="V28" s="142">
        <v>7500</v>
      </c>
      <c r="W28" s="143"/>
      <c r="X28" s="142">
        <v>10000</v>
      </c>
      <c r="Y28" s="143"/>
    </row>
    <row r="29" spans="1:25" ht="15.75" thickBot="1" x14ac:dyDescent="0.3">
      <c r="A29" s="114" t="s">
        <v>17</v>
      </c>
      <c r="B29" s="115"/>
      <c r="C29" s="115"/>
      <c r="D29" s="169">
        <v>2200</v>
      </c>
      <c r="E29" s="170"/>
      <c r="F29" s="169">
        <v>2200</v>
      </c>
      <c r="G29" s="170"/>
      <c r="H29" s="169">
        <v>2200</v>
      </c>
      <c r="I29" s="170"/>
      <c r="J29" s="23">
        <v>2200</v>
      </c>
      <c r="K29" s="23"/>
      <c r="L29" s="23">
        <v>2200</v>
      </c>
      <c r="M29" s="23"/>
      <c r="N29" s="23">
        <v>2200</v>
      </c>
      <c r="O29" s="23"/>
      <c r="P29" s="23">
        <v>2200</v>
      </c>
      <c r="Q29" s="23"/>
      <c r="R29" s="169">
        <v>2200</v>
      </c>
      <c r="S29" s="170"/>
      <c r="T29" s="169">
        <v>2200</v>
      </c>
      <c r="U29" s="170"/>
      <c r="V29" s="169">
        <v>2200</v>
      </c>
      <c r="W29" s="170"/>
      <c r="X29" s="169">
        <v>2200</v>
      </c>
      <c r="Y29" s="170"/>
    </row>
    <row r="30" spans="1:25" ht="15.75" thickTop="1" x14ac:dyDescent="0.25">
      <c r="A30" s="160" t="s">
        <v>18</v>
      </c>
      <c r="B30" s="161"/>
      <c r="C30" s="162"/>
      <c r="D30" s="153">
        <v>2200</v>
      </c>
      <c r="E30" s="154"/>
      <c r="F30" s="153">
        <v>2200</v>
      </c>
      <c r="G30" s="154"/>
      <c r="H30" s="153">
        <v>2200</v>
      </c>
      <c r="I30" s="154"/>
      <c r="J30" s="153">
        <v>2200</v>
      </c>
      <c r="K30" s="154"/>
      <c r="L30" s="153">
        <v>2200</v>
      </c>
      <c r="M30" s="154"/>
      <c r="N30" s="153">
        <v>2200</v>
      </c>
      <c r="O30" s="154"/>
      <c r="P30" s="153">
        <v>2200</v>
      </c>
      <c r="Q30" s="154"/>
      <c r="R30" s="153">
        <v>2200</v>
      </c>
      <c r="S30" s="154"/>
      <c r="T30" s="153">
        <v>2200</v>
      </c>
      <c r="U30" s="154"/>
      <c r="V30" s="153">
        <v>2200</v>
      </c>
      <c r="W30" s="154"/>
      <c r="X30" s="153">
        <v>2200</v>
      </c>
      <c r="Y30" s="154"/>
    </row>
    <row r="31" spans="1:25" ht="15.75" customHeight="1" x14ac:dyDescent="0.25">
      <c r="A31" s="155" t="s">
        <v>19</v>
      </c>
      <c r="B31" s="156"/>
      <c r="C31" s="157"/>
      <c r="D31" s="158">
        <v>2200</v>
      </c>
      <c r="E31" s="159"/>
      <c r="F31" s="158">
        <v>2200</v>
      </c>
      <c r="G31" s="159"/>
      <c r="H31" s="158">
        <v>2200</v>
      </c>
      <c r="I31" s="159"/>
      <c r="J31" s="158">
        <v>2200</v>
      </c>
      <c r="K31" s="159"/>
      <c r="L31" s="158">
        <v>2200</v>
      </c>
      <c r="M31" s="159"/>
      <c r="N31" s="158">
        <v>2200</v>
      </c>
      <c r="O31" s="159"/>
      <c r="P31" s="158">
        <v>2200</v>
      </c>
      <c r="Q31" s="159"/>
      <c r="R31" s="158">
        <v>2200</v>
      </c>
      <c r="S31" s="159"/>
      <c r="T31" s="158">
        <v>2200</v>
      </c>
      <c r="U31" s="159"/>
      <c r="V31" s="158">
        <v>2200</v>
      </c>
      <c r="W31" s="159"/>
      <c r="X31" s="158">
        <v>2200</v>
      </c>
      <c r="Y31" s="159"/>
    </row>
    <row r="32" spans="1:25" x14ac:dyDescent="0.25">
      <c r="A32" s="24"/>
      <c r="B32" s="25"/>
      <c r="C32" s="26" t="s">
        <v>46</v>
      </c>
      <c r="D32" s="167">
        <v>93120</v>
      </c>
      <c r="E32" s="168"/>
      <c r="F32" s="167">
        <v>108096</v>
      </c>
      <c r="G32" s="168"/>
      <c r="H32" s="167">
        <v>116520</v>
      </c>
      <c r="I32" s="168"/>
      <c r="J32" s="27">
        <v>135400</v>
      </c>
      <c r="K32" s="28"/>
      <c r="L32" s="27">
        <v>216960</v>
      </c>
      <c r="M32" s="28"/>
      <c r="N32" s="27">
        <v>146160</v>
      </c>
      <c r="O32" s="28"/>
      <c r="P32" s="27">
        <v>116520</v>
      </c>
      <c r="Q32" s="28"/>
      <c r="R32" s="27">
        <v>108096</v>
      </c>
      <c r="S32" s="28"/>
      <c r="T32" s="167">
        <v>111840</v>
      </c>
      <c r="U32" s="168"/>
      <c r="V32" s="167">
        <v>138400</v>
      </c>
      <c r="W32" s="168"/>
      <c r="X32" s="167">
        <v>216960</v>
      </c>
      <c r="Y32" s="168"/>
    </row>
    <row r="33" spans="1:25" ht="15.75" thickBot="1" x14ac:dyDescent="0.3">
      <c r="A33" s="29"/>
      <c r="B33" s="30"/>
      <c r="C33" s="31" t="s">
        <v>20</v>
      </c>
      <c r="D33" s="27">
        <v>5116.9440000000004</v>
      </c>
      <c r="E33" s="32">
        <v>730.99199999999996</v>
      </c>
      <c r="F33" s="27">
        <v>9334.0895999999993</v>
      </c>
      <c r="G33" s="32">
        <v>848.55359999999996</v>
      </c>
      <c r="H33" s="27">
        <v>9146.8199999999979</v>
      </c>
      <c r="I33" s="32">
        <v>914.68199999999979</v>
      </c>
      <c r="J33" s="27">
        <v>5845.8949999999986</v>
      </c>
      <c r="K33" s="32">
        <v>1062.8899999999999</v>
      </c>
      <c r="L33" s="27">
        <v>17031.36</v>
      </c>
      <c r="M33" s="32">
        <v>1703.136</v>
      </c>
      <c r="N33" s="27">
        <v>8605.17</v>
      </c>
      <c r="O33" s="32">
        <v>1147.356</v>
      </c>
      <c r="P33" s="27">
        <v>6860.1149999999989</v>
      </c>
      <c r="Q33" s="32">
        <v>914.6819999999999</v>
      </c>
      <c r="R33" s="27">
        <v>8485.5360000000001</v>
      </c>
      <c r="S33" s="32">
        <v>848.55359999999996</v>
      </c>
      <c r="T33" s="27">
        <v>6584.58</v>
      </c>
      <c r="U33" s="32">
        <v>877.94399999999996</v>
      </c>
      <c r="V33" s="27">
        <v>8148.2999999999993</v>
      </c>
      <c r="W33" s="32">
        <v>1086.4399999999998</v>
      </c>
      <c r="X33" s="27">
        <v>17031.36</v>
      </c>
      <c r="Y33" s="32">
        <v>1703.136</v>
      </c>
    </row>
    <row r="34" spans="1:25" ht="15.75" thickTop="1" x14ac:dyDescent="0.25">
      <c r="A34" s="98" t="s">
        <v>21</v>
      </c>
      <c r="B34" s="99"/>
      <c r="C34" s="99"/>
      <c r="D34" s="33">
        <v>600</v>
      </c>
      <c r="E34" s="34">
        <v>24</v>
      </c>
      <c r="F34" s="33">
        <v>600</v>
      </c>
      <c r="G34" s="34">
        <v>24</v>
      </c>
      <c r="H34" s="33">
        <v>600</v>
      </c>
      <c r="I34" s="34">
        <v>24</v>
      </c>
      <c r="J34" s="33">
        <v>700</v>
      </c>
      <c r="K34" s="34">
        <v>30</v>
      </c>
      <c r="L34" s="33">
        <v>900</v>
      </c>
      <c r="M34" s="34">
        <v>40</v>
      </c>
      <c r="N34" s="33">
        <v>800</v>
      </c>
      <c r="O34" s="34">
        <v>40</v>
      </c>
      <c r="P34" s="33">
        <v>600</v>
      </c>
      <c r="Q34" s="34">
        <v>24</v>
      </c>
      <c r="R34" s="33">
        <v>600</v>
      </c>
      <c r="S34" s="34">
        <v>24</v>
      </c>
      <c r="T34" s="33">
        <v>600</v>
      </c>
      <c r="U34" s="34">
        <v>24</v>
      </c>
      <c r="V34" s="33">
        <v>800</v>
      </c>
      <c r="W34" s="34">
        <v>30</v>
      </c>
      <c r="X34" s="33">
        <v>900</v>
      </c>
      <c r="Y34" s="34">
        <v>40</v>
      </c>
    </row>
    <row r="35" spans="1:25" x14ac:dyDescent="0.25">
      <c r="A35" s="88" t="s">
        <v>22</v>
      </c>
      <c r="B35" s="89"/>
      <c r="C35" s="89"/>
      <c r="D35" s="35"/>
      <c r="E35" s="36"/>
      <c r="F35" s="35"/>
      <c r="G35" s="36"/>
      <c r="H35" s="35"/>
      <c r="I35" s="36"/>
      <c r="J35" s="35"/>
      <c r="K35" s="36"/>
      <c r="L35" s="35">
        <v>800</v>
      </c>
      <c r="M35" s="36">
        <v>40</v>
      </c>
      <c r="N35" s="35"/>
      <c r="O35" s="36"/>
      <c r="P35" s="35"/>
      <c r="Q35" s="36"/>
      <c r="R35" s="35"/>
      <c r="S35" s="36"/>
      <c r="T35" s="35"/>
      <c r="U35" s="36"/>
      <c r="V35" s="35"/>
      <c r="W35" s="36"/>
      <c r="X35" s="35">
        <v>800</v>
      </c>
      <c r="Y35" s="36">
        <v>40</v>
      </c>
    </row>
    <row r="36" spans="1:25" x14ac:dyDescent="0.25">
      <c r="A36" s="114" t="s">
        <v>23</v>
      </c>
      <c r="B36" s="115"/>
      <c r="C36" s="115"/>
      <c r="D36" s="37">
        <v>20</v>
      </c>
      <c r="E36" s="38">
        <v>2136</v>
      </c>
      <c r="F36" s="37">
        <v>16</v>
      </c>
      <c r="G36" s="38">
        <v>2106</v>
      </c>
      <c r="H36" s="37">
        <v>20</v>
      </c>
      <c r="I36" s="38">
        <v>2106</v>
      </c>
      <c r="J36" s="37">
        <v>24</v>
      </c>
      <c r="K36" s="38">
        <v>2100</v>
      </c>
      <c r="L36" s="37">
        <v>24</v>
      </c>
      <c r="M36" s="38">
        <v>2040</v>
      </c>
      <c r="N36" s="37">
        <v>24</v>
      </c>
      <c r="O36" s="38">
        <v>2090</v>
      </c>
      <c r="P36" s="37">
        <v>20</v>
      </c>
      <c r="Q36" s="38">
        <v>2106</v>
      </c>
      <c r="R36" s="37">
        <v>16</v>
      </c>
      <c r="S36" s="38">
        <v>2106</v>
      </c>
      <c r="T36" s="37">
        <v>20</v>
      </c>
      <c r="U36" s="38">
        <v>2112</v>
      </c>
      <c r="V36" s="37">
        <v>24</v>
      </c>
      <c r="W36" s="38">
        <v>2100</v>
      </c>
      <c r="X36" s="37">
        <v>24</v>
      </c>
      <c r="Y36" s="38">
        <v>2040</v>
      </c>
    </row>
    <row r="37" spans="1:25" x14ac:dyDescent="0.25">
      <c r="A37" s="116" t="s">
        <v>24</v>
      </c>
      <c r="B37" s="117"/>
      <c r="C37" s="117"/>
      <c r="D37" s="39"/>
      <c r="E37" s="40"/>
      <c r="F37" s="39">
        <v>800</v>
      </c>
      <c r="G37" s="40">
        <v>30</v>
      </c>
      <c r="H37" s="39">
        <v>800</v>
      </c>
      <c r="I37" s="40">
        <v>30</v>
      </c>
      <c r="J37" s="39">
        <v>800</v>
      </c>
      <c r="K37" s="40">
        <v>30</v>
      </c>
      <c r="L37" s="39">
        <v>1200</v>
      </c>
      <c r="M37" s="40">
        <v>40</v>
      </c>
      <c r="N37" s="39">
        <v>800</v>
      </c>
      <c r="O37" s="40">
        <v>30</v>
      </c>
      <c r="P37" s="39">
        <v>800</v>
      </c>
      <c r="Q37" s="40">
        <v>30</v>
      </c>
      <c r="R37" s="39">
        <v>800</v>
      </c>
      <c r="S37" s="40">
        <v>30</v>
      </c>
      <c r="T37" s="39">
        <v>800</v>
      </c>
      <c r="U37" s="40">
        <v>24</v>
      </c>
      <c r="V37" s="39">
        <v>800</v>
      </c>
      <c r="W37" s="40">
        <v>30</v>
      </c>
      <c r="X37" s="39">
        <v>1200</v>
      </c>
      <c r="Y37" s="40">
        <v>40</v>
      </c>
    </row>
    <row r="38" spans="1:25" ht="15.75" thickBot="1" x14ac:dyDescent="0.3">
      <c r="A38" s="112" t="s">
        <v>25</v>
      </c>
      <c r="B38" s="113"/>
      <c r="C38" s="113"/>
      <c r="D38" s="41">
        <v>900</v>
      </c>
      <c r="E38" s="42">
        <v>40</v>
      </c>
      <c r="F38" s="41">
        <v>900</v>
      </c>
      <c r="G38" s="42">
        <v>40</v>
      </c>
      <c r="H38" s="41">
        <v>900</v>
      </c>
      <c r="I38" s="42">
        <v>40</v>
      </c>
      <c r="J38" s="41">
        <v>1000</v>
      </c>
      <c r="K38" s="42">
        <v>40</v>
      </c>
      <c r="L38" s="41">
        <v>1300</v>
      </c>
      <c r="M38" s="42">
        <v>40</v>
      </c>
      <c r="N38" s="41">
        <v>1000</v>
      </c>
      <c r="O38" s="42">
        <v>40</v>
      </c>
      <c r="P38" s="41">
        <v>900</v>
      </c>
      <c r="Q38" s="42">
        <v>40</v>
      </c>
      <c r="R38" s="41">
        <v>900</v>
      </c>
      <c r="S38" s="42">
        <v>40</v>
      </c>
      <c r="T38" s="41">
        <v>900</v>
      </c>
      <c r="U38" s="42">
        <v>40</v>
      </c>
      <c r="V38" s="41">
        <v>1000</v>
      </c>
      <c r="W38" s="42">
        <v>40</v>
      </c>
      <c r="X38" s="41">
        <v>1300</v>
      </c>
      <c r="Y38" s="42">
        <v>40</v>
      </c>
    </row>
    <row r="39" spans="1:25" ht="15.75" thickBot="1" x14ac:dyDescent="0.3">
      <c r="A39" s="109" t="s">
        <v>26</v>
      </c>
      <c r="B39" s="110"/>
      <c r="C39" s="111"/>
      <c r="D39" s="43" t="s">
        <v>47</v>
      </c>
      <c r="E39" s="44" t="s">
        <v>47</v>
      </c>
      <c r="F39" s="43" t="s">
        <v>47</v>
      </c>
      <c r="G39" s="44" t="s">
        <v>47</v>
      </c>
      <c r="H39" s="43" t="s">
        <v>47</v>
      </c>
      <c r="I39" s="44" t="s">
        <v>47</v>
      </c>
      <c r="J39" s="43" t="s">
        <v>47</v>
      </c>
      <c r="K39" s="44" t="s">
        <v>48</v>
      </c>
      <c r="L39" s="43" t="s">
        <v>47</v>
      </c>
      <c r="M39" s="44" t="s">
        <v>48</v>
      </c>
      <c r="N39" s="43" t="s">
        <v>47</v>
      </c>
      <c r="O39" s="44" t="s">
        <v>48</v>
      </c>
      <c r="P39" s="43" t="s">
        <v>47</v>
      </c>
      <c r="Q39" s="44" t="s">
        <v>47</v>
      </c>
      <c r="R39" s="43" t="s">
        <v>47</v>
      </c>
      <c r="S39" s="44" t="s">
        <v>47</v>
      </c>
      <c r="T39" s="43" t="s">
        <v>47</v>
      </c>
      <c r="U39" s="44" t="s">
        <v>47</v>
      </c>
      <c r="V39" s="43" t="s">
        <v>47</v>
      </c>
      <c r="W39" s="44" t="s">
        <v>48</v>
      </c>
      <c r="X39" s="43" t="s">
        <v>47</v>
      </c>
      <c r="Y39" s="44" t="s">
        <v>48</v>
      </c>
    </row>
    <row r="40" spans="1:25" ht="15.75" customHeight="1" x14ac:dyDescent="0.25">
      <c r="A40" s="96" t="s">
        <v>27</v>
      </c>
      <c r="B40" s="118"/>
      <c r="C40" s="118"/>
      <c r="D40" s="107" t="s">
        <v>49</v>
      </c>
      <c r="E40" s="108"/>
      <c r="F40" s="107" t="s">
        <v>49</v>
      </c>
      <c r="G40" s="108"/>
      <c r="H40" s="107" t="s">
        <v>49</v>
      </c>
      <c r="I40" s="108"/>
      <c r="J40" s="107" t="s">
        <v>50</v>
      </c>
      <c r="K40" s="108"/>
      <c r="L40" s="107" t="s">
        <v>50</v>
      </c>
      <c r="M40" s="108"/>
      <c r="N40" s="107" t="s">
        <v>50</v>
      </c>
      <c r="O40" s="108"/>
      <c r="P40" s="107" t="s">
        <v>49</v>
      </c>
      <c r="Q40" s="108"/>
      <c r="R40" s="107" t="s">
        <v>49</v>
      </c>
      <c r="S40" s="108"/>
      <c r="T40" s="107" t="s">
        <v>49</v>
      </c>
      <c r="U40" s="108"/>
      <c r="V40" s="107" t="s">
        <v>50</v>
      </c>
      <c r="W40" s="108"/>
      <c r="X40" s="107" t="s">
        <v>50</v>
      </c>
      <c r="Y40" s="108"/>
    </row>
    <row r="41" spans="1:25" ht="15.75" customHeight="1" thickBot="1" x14ac:dyDescent="0.3">
      <c r="A41" s="135" t="s">
        <v>28</v>
      </c>
      <c r="B41" s="135"/>
      <c r="C41" s="135"/>
      <c r="D41" s="119" t="s">
        <v>69</v>
      </c>
      <c r="E41" s="120"/>
      <c r="F41" s="119" t="s">
        <v>51</v>
      </c>
      <c r="G41" s="120"/>
      <c r="H41" s="119" t="s">
        <v>51</v>
      </c>
      <c r="I41" s="120"/>
      <c r="J41" s="119" t="s">
        <v>51</v>
      </c>
      <c r="K41" s="120"/>
      <c r="L41" s="119" t="s">
        <v>51</v>
      </c>
      <c r="M41" s="120"/>
      <c r="N41" s="119" t="s">
        <v>51</v>
      </c>
      <c r="O41" s="120"/>
      <c r="P41" s="119" t="s">
        <v>51</v>
      </c>
      <c r="Q41" s="120"/>
      <c r="R41" s="119" t="s">
        <v>51</v>
      </c>
      <c r="S41" s="120"/>
      <c r="T41" s="119" t="s">
        <v>97</v>
      </c>
      <c r="U41" s="120"/>
      <c r="V41" s="119" t="s">
        <v>51</v>
      </c>
      <c r="W41" s="120"/>
      <c r="X41" s="119" t="s">
        <v>51</v>
      </c>
      <c r="Y41" s="120"/>
    </row>
    <row r="42" spans="1:25" ht="15.75" customHeight="1" thickBot="1" x14ac:dyDescent="0.3">
      <c r="A42" s="136" t="s">
        <v>31</v>
      </c>
      <c r="B42" s="137"/>
      <c r="C42" s="137"/>
      <c r="D42" s="137"/>
      <c r="E42" s="137"/>
      <c r="F42" s="137"/>
      <c r="G42" s="137"/>
      <c r="H42" s="137"/>
      <c r="I42" s="137"/>
      <c r="J42" s="138"/>
      <c r="K42" s="47"/>
      <c r="L42" s="48" t="s">
        <v>32</v>
      </c>
      <c r="M42" s="45">
        <v>12</v>
      </c>
      <c r="N42" s="45" t="s">
        <v>53</v>
      </c>
      <c r="O42" s="45"/>
      <c r="P42" s="45"/>
      <c r="Q42" s="46"/>
      <c r="R42" s="48" t="s">
        <v>32</v>
      </c>
      <c r="S42" s="45">
        <v>12</v>
      </c>
      <c r="T42" s="45" t="s">
        <v>53</v>
      </c>
      <c r="U42" s="45"/>
      <c r="V42" s="45"/>
      <c r="W42" s="46"/>
      <c r="X42" s="48" t="s">
        <v>33</v>
      </c>
      <c r="Y42" s="45">
        <v>23</v>
      </c>
    </row>
    <row r="43" spans="1:25" ht="18.75" thickBot="1" x14ac:dyDescent="0.3">
      <c r="A43" s="49"/>
      <c r="B43" s="50"/>
      <c r="C43" s="50"/>
      <c r="D43" s="51"/>
      <c r="E43" s="51"/>
      <c r="F43" s="52"/>
      <c r="G43" s="52"/>
      <c r="H43" s="52"/>
      <c r="I43" s="52"/>
      <c r="J43" s="53"/>
      <c r="K43" s="54"/>
      <c r="L43" s="53"/>
      <c r="M43" s="53"/>
      <c r="N43" s="2"/>
      <c r="O43" s="2"/>
      <c r="P43" s="53"/>
      <c r="Q43" s="53"/>
      <c r="R43" s="55"/>
      <c r="S43" s="55"/>
      <c r="T43" s="53"/>
      <c r="U43" s="53"/>
      <c r="V43" s="53"/>
      <c r="W43" s="53"/>
      <c r="X43" s="53"/>
      <c r="Y43" s="53"/>
    </row>
    <row r="44" spans="1:25" ht="15.75" thickBot="1" x14ac:dyDescent="0.3">
      <c r="A44" s="104" t="s">
        <v>0</v>
      </c>
      <c r="B44" s="105"/>
      <c r="C44" s="106"/>
      <c r="D44" s="90">
        <v>1</v>
      </c>
      <c r="E44" s="91"/>
      <c r="F44" s="102">
        <v>2</v>
      </c>
      <c r="G44" s="103"/>
      <c r="H44" s="102">
        <v>3</v>
      </c>
      <c r="I44" s="103"/>
      <c r="J44" s="100">
        <v>4</v>
      </c>
      <c r="K44" s="101"/>
      <c r="L44" s="90">
        <v>5</v>
      </c>
      <c r="M44" s="91"/>
      <c r="N44" s="100">
        <v>6</v>
      </c>
      <c r="O44" s="101"/>
      <c r="P44" s="102">
        <v>7</v>
      </c>
      <c r="Q44" s="103"/>
      <c r="R44" s="102">
        <v>8</v>
      </c>
      <c r="S44" s="103"/>
      <c r="T44" s="102">
        <v>9</v>
      </c>
      <c r="U44" s="103"/>
      <c r="V44" s="100">
        <v>10</v>
      </c>
      <c r="W44" s="101"/>
      <c r="X44" s="90">
        <v>11</v>
      </c>
      <c r="Y44" s="91"/>
    </row>
    <row r="45" spans="1:25" ht="15.75" thickTop="1" x14ac:dyDescent="0.25">
      <c r="A45" s="139" t="s">
        <v>34</v>
      </c>
      <c r="B45" s="124" t="s">
        <v>35</v>
      </c>
      <c r="C45" s="125"/>
      <c r="D45" s="56" t="s">
        <v>52</v>
      </c>
      <c r="E45" s="57">
        <v>0.423403466874963</v>
      </c>
      <c r="F45" s="56" t="s">
        <v>52</v>
      </c>
      <c r="G45" s="57">
        <v>0.57983189830560566</v>
      </c>
      <c r="H45" s="56" t="s">
        <v>52</v>
      </c>
      <c r="I45" s="57">
        <v>0.43822041373496456</v>
      </c>
      <c r="J45" s="56" t="s">
        <v>52</v>
      </c>
      <c r="K45" s="57">
        <v>9.5456828482941777E-2</v>
      </c>
      <c r="L45" s="56" t="s">
        <v>52</v>
      </c>
      <c r="M45" s="57">
        <v>0.22211917749388138</v>
      </c>
      <c r="N45" s="56" t="s">
        <v>52</v>
      </c>
      <c r="O45" s="57">
        <v>2.4952387196860082E-3</v>
      </c>
      <c r="P45" s="56" t="s">
        <v>52</v>
      </c>
      <c r="Q45" s="57">
        <v>0.40487478944924438</v>
      </c>
      <c r="R45" s="56" t="s">
        <v>52</v>
      </c>
      <c r="S45" s="57">
        <v>0.54438689699636866</v>
      </c>
      <c r="T45" s="56" t="s">
        <v>52</v>
      </c>
      <c r="U45" s="57">
        <v>0.40246579687759748</v>
      </c>
      <c r="V45" s="56" t="s">
        <v>52</v>
      </c>
      <c r="W45" s="57">
        <v>8.8982085358938756E-3</v>
      </c>
      <c r="X45" s="56" t="s">
        <v>52</v>
      </c>
      <c r="Y45" s="57">
        <v>0.23024945485456519</v>
      </c>
    </row>
    <row r="46" spans="1:25" x14ac:dyDescent="0.25">
      <c r="A46" s="140"/>
      <c r="B46" s="131"/>
      <c r="C46" s="132"/>
      <c r="D46" s="58" t="s">
        <v>80</v>
      </c>
      <c r="E46" s="59" t="s">
        <v>70</v>
      </c>
      <c r="F46" s="58" t="s">
        <v>131</v>
      </c>
      <c r="G46" s="59" t="s">
        <v>82</v>
      </c>
      <c r="H46" s="58" t="s">
        <v>132</v>
      </c>
      <c r="I46" s="59" t="s">
        <v>111</v>
      </c>
      <c r="J46" s="58" t="s">
        <v>133</v>
      </c>
      <c r="K46" s="59" t="s">
        <v>112</v>
      </c>
      <c r="L46" s="58" t="s">
        <v>134</v>
      </c>
      <c r="M46" s="59" t="s">
        <v>135</v>
      </c>
      <c r="N46" s="58" t="s">
        <v>136</v>
      </c>
      <c r="O46" s="59" t="s">
        <v>137</v>
      </c>
      <c r="P46" s="58" t="s">
        <v>63</v>
      </c>
      <c r="Q46" s="59" t="s">
        <v>138</v>
      </c>
      <c r="R46" s="58" t="s">
        <v>139</v>
      </c>
      <c r="S46" s="59" t="s">
        <v>140</v>
      </c>
      <c r="T46" s="58" t="s">
        <v>141</v>
      </c>
      <c r="U46" s="59" t="s">
        <v>142</v>
      </c>
      <c r="V46" s="58" t="s">
        <v>143</v>
      </c>
      <c r="W46" s="59" t="s">
        <v>144</v>
      </c>
      <c r="X46" s="58" t="s">
        <v>113</v>
      </c>
      <c r="Y46" s="59" t="s">
        <v>76</v>
      </c>
    </row>
    <row r="47" spans="1:25" x14ac:dyDescent="0.25">
      <c r="A47" s="140"/>
      <c r="B47" s="130" t="s">
        <v>36</v>
      </c>
      <c r="C47" s="129"/>
      <c r="D47" s="60" t="s">
        <v>52</v>
      </c>
      <c r="E47" s="61">
        <v>5.712623371577111E-5</v>
      </c>
      <c r="F47" s="60" t="s">
        <v>52</v>
      </c>
      <c r="G47" s="61">
        <v>0.45123552464452776</v>
      </c>
      <c r="H47" s="60" t="s">
        <v>52</v>
      </c>
      <c r="I47" s="61">
        <v>0.1254895720596729</v>
      </c>
      <c r="J47" s="60" t="s">
        <v>52</v>
      </c>
      <c r="K47" s="61">
        <v>9.2146190639193826E-2</v>
      </c>
      <c r="L47" s="60" t="s">
        <v>52</v>
      </c>
      <c r="M47" s="61">
        <v>0.43726531026793292</v>
      </c>
      <c r="N47" s="60" t="s">
        <v>52</v>
      </c>
      <c r="O47" s="61">
        <v>0.40884656979136286</v>
      </c>
      <c r="P47" s="60" t="s">
        <v>52</v>
      </c>
      <c r="Q47" s="61">
        <v>1.5154477128382074E-2</v>
      </c>
      <c r="R47" s="60" t="s">
        <v>52</v>
      </c>
      <c r="S47" s="61">
        <v>0.44399172928888669</v>
      </c>
      <c r="T47" s="60" t="s">
        <v>52</v>
      </c>
      <c r="U47" s="61">
        <v>1.4634740292696173E-2</v>
      </c>
      <c r="V47" s="60" t="s">
        <v>52</v>
      </c>
      <c r="W47" s="61">
        <v>0.48542126466874691</v>
      </c>
      <c r="X47" s="60" t="s">
        <v>52</v>
      </c>
      <c r="Y47" s="61">
        <v>0.44727180548108225</v>
      </c>
    </row>
    <row r="48" spans="1:25" x14ac:dyDescent="0.25">
      <c r="A48" s="140"/>
      <c r="B48" s="131"/>
      <c r="C48" s="132"/>
      <c r="D48" s="62" t="s">
        <v>57</v>
      </c>
      <c r="E48" s="59" t="s">
        <v>58</v>
      </c>
      <c r="F48" s="62" t="s">
        <v>145</v>
      </c>
      <c r="G48" s="59" t="s">
        <v>146</v>
      </c>
      <c r="H48" s="62" t="s">
        <v>147</v>
      </c>
      <c r="I48" s="59" t="s">
        <v>148</v>
      </c>
      <c r="J48" s="62" t="s">
        <v>68</v>
      </c>
      <c r="K48" s="59" t="s">
        <v>114</v>
      </c>
      <c r="L48" s="62" t="s">
        <v>149</v>
      </c>
      <c r="M48" s="59" t="s">
        <v>81</v>
      </c>
      <c r="N48" s="62" t="s">
        <v>85</v>
      </c>
      <c r="O48" s="59" t="s">
        <v>150</v>
      </c>
      <c r="P48" s="62" t="s">
        <v>151</v>
      </c>
      <c r="Q48" s="59" t="s">
        <v>89</v>
      </c>
      <c r="R48" s="62" t="s">
        <v>120</v>
      </c>
      <c r="S48" s="59" t="s">
        <v>152</v>
      </c>
      <c r="T48" s="62" t="s">
        <v>151</v>
      </c>
      <c r="U48" s="59" t="s">
        <v>89</v>
      </c>
      <c r="V48" s="62" t="s">
        <v>153</v>
      </c>
      <c r="W48" s="59" t="s">
        <v>101</v>
      </c>
      <c r="X48" s="62" t="s">
        <v>154</v>
      </c>
      <c r="Y48" s="59" t="s">
        <v>155</v>
      </c>
    </row>
    <row r="49" spans="1:25" x14ac:dyDescent="0.25">
      <c r="A49" s="140"/>
      <c r="B49" s="130" t="s">
        <v>37</v>
      </c>
      <c r="C49" s="129"/>
      <c r="D49" s="60" t="s">
        <v>52</v>
      </c>
      <c r="E49" s="61">
        <v>0.23135749905285299</v>
      </c>
      <c r="F49" s="60" t="s">
        <v>52</v>
      </c>
      <c r="G49" s="61">
        <v>0.15816886148163725</v>
      </c>
      <c r="H49" s="60" t="s">
        <v>52</v>
      </c>
      <c r="I49" s="61">
        <v>0.26996913263046651</v>
      </c>
      <c r="J49" s="60" t="s">
        <v>52</v>
      </c>
      <c r="K49" s="61">
        <v>0.25473607161437734</v>
      </c>
      <c r="L49" s="60" t="s">
        <v>52</v>
      </c>
      <c r="M49" s="61">
        <v>0.28680770442611669</v>
      </c>
      <c r="N49" s="60" t="s">
        <v>52</v>
      </c>
      <c r="O49" s="61">
        <v>0.24789831104990653</v>
      </c>
      <c r="P49" s="60" t="s">
        <v>52</v>
      </c>
      <c r="Q49" s="61">
        <v>0.22502518375917227</v>
      </c>
      <c r="R49" s="60" t="s">
        <v>52</v>
      </c>
      <c r="S49" s="61">
        <v>0.1355420852677188</v>
      </c>
      <c r="T49" s="60" t="s">
        <v>52</v>
      </c>
      <c r="U49" s="61">
        <v>0.22624716469818543</v>
      </c>
      <c r="V49" s="60" t="s">
        <v>52</v>
      </c>
      <c r="W49" s="61">
        <v>0.25246451273829146</v>
      </c>
      <c r="X49" s="60" t="s">
        <v>52</v>
      </c>
      <c r="Y49" s="61">
        <v>0.28579354634305004</v>
      </c>
    </row>
    <row r="50" spans="1:25" x14ac:dyDescent="0.25">
      <c r="A50" s="140"/>
      <c r="B50" s="131"/>
      <c r="C50" s="132"/>
      <c r="D50" s="62" t="s">
        <v>79</v>
      </c>
      <c r="E50" s="59" t="s">
        <v>74</v>
      </c>
      <c r="F50" s="62" t="s">
        <v>100</v>
      </c>
      <c r="G50" s="59" t="s">
        <v>116</v>
      </c>
      <c r="H50" s="62" t="s">
        <v>156</v>
      </c>
      <c r="I50" s="59" t="s">
        <v>117</v>
      </c>
      <c r="J50" s="62" t="s">
        <v>157</v>
      </c>
      <c r="K50" s="59" t="s">
        <v>86</v>
      </c>
      <c r="L50" s="62" t="s">
        <v>115</v>
      </c>
      <c r="M50" s="59" t="s">
        <v>158</v>
      </c>
      <c r="N50" s="62" t="s">
        <v>159</v>
      </c>
      <c r="O50" s="59" t="s">
        <v>88</v>
      </c>
      <c r="P50" s="62" t="s">
        <v>160</v>
      </c>
      <c r="Q50" s="59" t="s">
        <v>161</v>
      </c>
      <c r="R50" s="62" t="s">
        <v>162</v>
      </c>
      <c r="S50" s="59" t="s">
        <v>163</v>
      </c>
      <c r="T50" s="62" t="s">
        <v>66</v>
      </c>
      <c r="U50" s="59" t="s">
        <v>164</v>
      </c>
      <c r="V50" s="62" t="s">
        <v>165</v>
      </c>
      <c r="W50" s="59" t="s">
        <v>166</v>
      </c>
      <c r="X50" s="62" t="s">
        <v>167</v>
      </c>
      <c r="Y50" s="59" t="s">
        <v>168</v>
      </c>
    </row>
    <row r="51" spans="1:25" x14ac:dyDescent="0.25">
      <c r="A51" s="140"/>
      <c r="B51" s="130" t="s">
        <v>38</v>
      </c>
      <c r="C51" s="129"/>
      <c r="D51" s="60" t="s">
        <v>52</v>
      </c>
      <c r="E51" s="61">
        <v>0.12592795591256825</v>
      </c>
      <c r="F51" s="60" t="s">
        <v>52</v>
      </c>
      <c r="G51" s="61">
        <v>1.8973981934030971E-2</v>
      </c>
      <c r="H51" s="60" t="s">
        <v>52</v>
      </c>
      <c r="I51" s="61">
        <v>9.8037120438192751E-2</v>
      </c>
      <c r="J51" s="60" t="s">
        <v>52</v>
      </c>
      <c r="K51" s="61">
        <v>0.19190869012957229</v>
      </c>
      <c r="L51" s="60" t="s">
        <v>52</v>
      </c>
      <c r="M51" s="61">
        <v>0.22278056181903808</v>
      </c>
      <c r="N51" s="60" t="s">
        <v>52</v>
      </c>
      <c r="O51" s="61">
        <v>0.15648813324368202</v>
      </c>
      <c r="P51" s="60" t="s">
        <v>52</v>
      </c>
      <c r="Q51" s="61">
        <v>9.016954094871743E-2</v>
      </c>
      <c r="R51" s="60" t="s">
        <v>52</v>
      </c>
      <c r="S51" s="61">
        <v>2.2973454020373246E-2</v>
      </c>
      <c r="T51" s="60" t="s">
        <v>52</v>
      </c>
      <c r="U51" s="61">
        <v>9.5109346378642323E-2</v>
      </c>
      <c r="V51" s="60" t="s">
        <v>52</v>
      </c>
      <c r="W51" s="61">
        <v>0.16052312768207547</v>
      </c>
      <c r="X51" s="60" t="s">
        <v>52</v>
      </c>
      <c r="Y51" s="61">
        <v>0.22083139295092388</v>
      </c>
    </row>
    <row r="52" spans="1:25" ht="15.75" thickBot="1" x14ac:dyDescent="0.3">
      <c r="A52" s="141"/>
      <c r="B52" s="133"/>
      <c r="C52" s="134"/>
      <c r="D52" s="63" t="s">
        <v>80</v>
      </c>
      <c r="E52" s="64" t="s">
        <v>70</v>
      </c>
      <c r="F52" s="63" t="s">
        <v>131</v>
      </c>
      <c r="G52" s="64" t="s">
        <v>82</v>
      </c>
      <c r="H52" s="63" t="s">
        <v>132</v>
      </c>
      <c r="I52" s="64" t="s">
        <v>111</v>
      </c>
      <c r="J52" s="63" t="s">
        <v>133</v>
      </c>
      <c r="K52" s="64" t="s">
        <v>112</v>
      </c>
      <c r="L52" s="63" t="s">
        <v>134</v>
      </c>
      <c r="M52" s="64" t="s">
        <v>135</v>
      </c>
      <c r="N52" s="63" t="s">
        <v>136</v>
      </c>
      <c r="O52" s="64" t="s">
        <v>137</v>
      </c>
      <c r="P52" s="63" t="s">
        <v>63</v>
      </c>
      <c r="Q52" s="64" t="s">
        <v>138</v>
      </c>
      <c r="R52" s="63" t="s">
        <v>139</v>
      </c>
      <c r="S52" s="64" t="s">
        <v>140</v>
      </c>
      <c r="T52" s="63" t="s">
        <v>141</v>
      </c>
      <c r="U52" s="64" t="s">
        <v>142</v>
      </c>
      <c r="V52" s="63" t="s">
        <v>143</v>
      </c>
      <c r="W52" s="64" t="s">
        <v>144</v>
      </c>
      <c r="X52" s="63" t="s">
        <v>113</v>
      </c>
      <c r="Y52" s="64" t="s">
        <v>76</v>
      </c>
    </row>
    <row r="53" spans="1:25" ht="15.75" customHeight="1" thickTop="1" x14ac:dyDescent="0.25">
      <c r="A53" s="121" t="s">
        <v>39</v>
      </c>
      <c r="B53" s="124" t="s">
        <v>35</v>
      </c>
      <c r="C53" s="125"/>
      <c r="D53" s="65" t="s">
        <v>61</v>
      </c>
      <c r="E53" s="66">
        <v>0.84606598879628114</v>
      </c>
      <c r="F53" s="65" t="s">
        <v>61</v>
      </c>
      <c r="G53" s="66">
        <v>0.82780715535531779</v>
      </c>
      <c r="H53" s="65" t="s">
        <v>61</v>
      </c>
      <c r="I53" s="66">
        <v>0.73904660263867217</v>
      </c>
      <c r="J53" s="65" t="s">
        <v>61</v>
      </c>
      <c r="K53" s="66">
        <v>0.14557484236554061</v>
      </c>
      <c r="L53" s="65" t="s">
        <v>62</v>
      </c>
      <c r="M53" s="66">
        <v>0.24375765506263697</v>
      </c>
      <c r="N53" s="65" t="s">
        <v>61</v>
      </c>
      <c r="O53" s="66">
        <v>0.25399622343876216</v>
      </c>
      <c r="P53" s="65" t="s">
        <v>61</v>
      </c>
      <c r="Q53" s="66">
        <v>0.73156931253586988</v>
      </c>
      <c r="R53" s="65" t="s">
        <v>61</v>
      </c>
      <c r="S53" s="66">
        <v>0.82573351404168926</v>
      </c>
      <c r="T53" s="65" t="s">
        <v>61</v>
      </c>
      <c r="U53" s="66">
        <v>0.76137385434567051</v>
      </c>
      <c r="V53" s="65" t="s">
        <v>61</v>
      </c>
      <c r="W53" s="66">
        <v>0.22247689680505503</v>
      </c>
      <c r="X53" s="65" t="s">
        <v>62</v>
      </c>
      <c r="Y53" s="66">
        <v>0.25011831864703626</v>
      </c>
    </row>
    <row r="54" spans="1:25" x14ac:dyDescent="0.25">
      <c r="A54" s="122"/>
      <c r="B54" s="126" t="s">
        <v>40</v>
      </c>
      <c r="C54" s="127"/>
      <c r="D54" s="67" t="s">
        <v>103</v>
      </c>
      <c r="E54" s="68" t="s">
        <v>118</v>
      </c>
      <c r="F54" s="67" t="s">
        <v>99</v>
      </c>
      <c r="G54" s="68" t="s">
        <v>77</v>
      </c>
      <c r="H54" s="67" t="s">
        <v>169</v>
      </c>
      <c r="I54" s="68" t="s">
        <v>170</v>
      </c>
      <c r="J54" s="67" t="s">
        <v>171</v>
      </c>
      <c r="K54" s="68" t="s">
        <v>65</v>
      </c>
      <c r="L54" s="67" t="s">
        <v>172</v>
      </c>
      <c r="M54" s="68" t="s">
        <v>173</v>
      </c>
      <c r="N54" s="67" t="s">
        <v>91</v>
      </c>
      <c r="O54" s="68" t="s">
        <v>174</v>
      </c>
      <c r="P54" s="67" t="s">
        <v>145</v>
      </c>
      <c r="Q54" s="68" t="s">
        <v>175</v>
      </c>
      <c r="R54" s="67" t="s">
        <v>176</v>
      </c>
      <c r="S54" s="68" t="s">
        <v>177</v>
      </c>
      <c r="T54" s="67" t="s">
        <v>178</v>
      </c>
      <c r="U54" s="68" t="s">
        <v>121</v>
      </c>
      <c r="V54" s="67" t="s">
        <v>179</v>
      </c>
      <c r="W54" s="68" t="s">
        <v>71</v>
      </c>
      <c r="X54" s="67" t="s">
        <v>122</v>
      </c>
      <c r="Y54" s="68" t="s">
        <v>180</v>
      </c>
    </row>
    <row r="55" spans="1:25" x14ac:dyDescent="0.25">
      <c r="A55" s="122"/>
      <c r="B55" s="128" t="s">
        <v>36</v>
      </c>
      <c r="C55" s="129"/>
      <c r="D55" s="69" t="s">
        <v>61</v>
      </c>
      <c r="E55" s="70">
        <v>6.1805703423309877E-2</v>
      </c>
      <c r="F55" s="69" t="s">
        <v>62</v>
      </c>
      <c r="G55" s="70">
        <v>0.53799102342430094</v>
      </c>
      <c r="H55" s="69" t="s">
        <v>62</v>
      </c>
      <c r="I55" s="70">
        <v>0.27600954510468034</v>
      </c>
      <c r="J55" s="69" t="s">
        <v>62</v>
      </c>
      <c r="K55" s="70">
        <v>0.86611709864803976</v>
      </c>
      <c r="L55" s="69" t="s">
        <v>62</v>
      </c>
      <c r="M55" s="70">
        <v>0.86388373650950079</v>
      </c>
      <c r="N55" s="69" t="s">
        <v>62</v>
      </c>
      <c r="O55" s="70">
        <v>0.85353022720163862</v>
      </c>
      <c r="P55" s="69" t="s">
        <v>62</v>
      </c>
      <c r="Q55" s="70">
        <v>0.24920102047857118</v>
      </c>
      <c r="R55" s="69" t="s">
        <v>62</v>
      </c>
      <c r="S55" s="70">
        <v>0.42737522754387031</v>
      </c>
      <c r="T55" s="69" t="s">
        <v>62</v>
      </c>
      <c r="U55" s="70">
        <v>0.23650146453963833</v>
      </c>
      <c r="V55" s="69" t="s">
        <v>62</v>
      </c>
      <c r="W55" s="70">
        <v>0.84733054449334733</v>
      </c>
      <c r="X55" s="69" t="s">
        <v>62</v>
      </c>
      <c r="Y55" s="70">
        <v>0.8725286524771888</v>
      </c>
    </row>
    <row r="56" spans="1:25" x14ac:dyDescent="0.25">
      <c r="A56" s="122"/>
      <c r="B56" s="126" t="s">
        <v>40</v>
      </c>
      <c r="C56" s="127"/>
      <c r="D56" s="67" t="s">
        <v>181</v>
      </c>
      <c r="E56" s="68" t="s">
        <v>182</v>
      </c>
      <c r="F56" s="67" t="s">
        <v>183</v>
      </c>
      <c r="G56" s="68" t="s">
        <v>184</v>
      </c>
      <c r="H56" s="67" t="s">
        <v>185</v>
      </c>
      <c r="I56" s="68" t="s">
        <v>186</v>
      </c>
      <c r="J56" s="67" t="s">
        <v>187</v>
      </c>
      <c r="K56" s="68" t="s">
        <v>188</v>
      </c>
      <c r="L56" s="67" t="s">
        <v>189</v>
      </c>
      <c r="M56" s="68" t="s">
        <v>190</v>
      </c>
      <c r="N56" s="67" t="s">
        <v>191</v>
      </c>
      <c r="O56" s="68" t="s">
        <v>192</v>
      </c>
      <c r="P56" s="67" t="s">
        <v>54</v>
      </c>
      <c r="Q56" s="68" t="s">
        <v>86</v>
      </c>
      <c r="R56" s="67" t="s">
        <v>193</v>
      </c>
      <c r="S56" s="68" t="s">
        <v>194</v>
      </c>
      <c r="T56" s="67" t="s">
        <v>195</v>
      </c>
      <c r="U56" s="68" t="s">
        <v>196</v>
      </c>
      <c r="V56" s="67" t="s">
        <v>229</v>
      </c>
      <c r="W56" s="68" t="s">
        <v>197</v>
      </c>
      <c r="X56" s="67" t="s">
        <v>230</v>
      </c>
      <c r="Y56" s="68" t="s">
        <v>198</v>
      </c>
    </row>
    <row r="57" spans="1:25" x14ac:dyDescent="0.25">
      <c r="A57" s="122"/>
      <c r="B57" s="130" t="s">
        <v>37</v>
      </c>
      <c r="C57" s="129"/>
      <c r="D57" s="60" t="s">
        <v>52</v>
      </c>
      <c r="E57" s="61">
        <v>0.81411775086845528</v>
      </c>
      <c r="F57" s="60" t="s">
        <v>52</v>
      </c>
      <c r="G57" s="61">
        <v>0.75357628161395018</v>
      </c>
      <c r="H57" s="60" t="s">
        <v>52</v>
      </c>
      <c r="I57" s="61">
        <v>0.80293179662431491</v>
      </c>
      <c r="J57" s="60" t="s">
        <v>52</v>
      </c>
      <c r="K57" s="61">
        <v>0.70590646914642474</v>
      </c>
      <c r="L57" s="60" t="s">
        <v>52</v>
      </c>
      <c r="M57" s="61">
        <v>0.87584756653861462</v>
      </c>
      <c r="N57" s="60" t="s">
        <v>52</v>
      </c>
      <c r="O57" s="61">
        <v>0.69844125557914971</v>
      </c>
      <c r="P57" s="60" t="s">
        <v>52</v>
      </c>
      <c r="Q57" s="61">
        <v>0.70510687982323583</v>
      </c>
      <c r="R57" s="60" t="s">
        <v>52</v>
      </c>
      <c r="S57" s="61">
        <v>0.61131655643597105</v>
      </c>
      <c r="T57" s="60" t="s">
        <v>52</v>
      </c>
      <c r="U57" s="61">
        <v>0.70615461378891375</v>
      </c>
      <c r="V57" s="60" t="s">
        <v>52</v>
      </c>
      <c r="W57" s="61">
        <v>0.69831360295286804</v>
      </c>
      <c r="X57" s="60" t="s">
        <v>52</v>
      </c>
      <c r="Y57" s="61">
        <v>0.84834682666070194</v>
      </c>
    </row>
    <row r="58" spans="1:25" x14ac:dyDescent="0.25">
      <c r="A58" s="122"/>
      <c r="B58" s="131"/>
      <c r="C58" s="132"/>
      <c r="D58" s="67" t="s">
        <v>123</v>
      </c>
      <c r="E58" s="68" t="s">
        <v>124</v>
      </c>
      <c r="F58" s="67" t="s">
        <v>125</v>
      </c>
      <c r="G58" s="68" t="s">
        <v>199</v>
      </c>
      <c r="H58" s="67" t="s">
        <v>200</v>
      </c>
      <c r="I58" s="68" t="s">
        <v>59</v>
      </c>
      <c r="J58" s="67" t="s">
        <v>201</v>
      </c>
      <c r="K58" s="68" t="s">
        <v>202</v>
      </c>
      <c r="L58" s="67" t="s">
        <v>203</v>
      </c>
      <c r="M58" s="68" t="s">
        <v>204</v>
      </c>
      <c r="N58" s="67" t="s">
        <v>92</v>
      </c>
      <c r="O58" s="68" t="s">
        <v>205</v>
      </c>
      <c r="P58" s="67" t="s">
        <v>75</v>
      </c>
      <c r="Q58" s="68" t="s">
        <v>206</v>
      </c>
      <c r="R58" s="67" t="s">
        <v>207</v>
      </c>
      <c r="S58" s="68" t="s">
        <v>208</v>
      </c>
      <c r="T58" s="67" t="s">
        <v>209</v>
      </c>
      <c r="U58" s="68" t="s">
        <v>56</v>
      </c>
      <c r="V58" s="67" t="s">
        <v>231</v>
      </c>
      <c r="W58" s="68" t="s">
        <v>210</v>
      </c>
      <c r="X58" s="67" t="s">
        <v>232</v>
      </c>
      <c r="Y58" s="68" t="s">
        <v>211</v>
      </c>
    </row>
    <row r="59" spans="1:25" x14ac:dyDescent="0.25">
      <c r="A59" s="122"/>
      <c r="B59" s="130" t="s">
        <v>38</v>
      </c>
      <c r="C59" s="129"/>
      <c r="D59" s="60" t="s">
        <v>52</v>
      </c>
      <c r="E59" s="61">
        <v>0.55200113934474104</v>
      </c>
      <c r="F59" s="60" t="s">
        <v>52</v>
      </c>
      <c r="G59" s="61">
        <v>0.45621509756666168</v>
      </c>
      <c r="H59" s="60" t="s">
        <v>52</v>
      </c>
      <c r="I59" s="61">
        <v>0.43585926045445739</v>
      </c>
      <c r="J59" s="60" t="s">
        <v>52</v>
      </c>
      <c r="K59" s="61">
        <v>0.53339885009735966</v>
      </c>
      <c r="L59" s="60" t="s">
        <v>52</v>
      </c>
      <c r="M59" s="61">
        <v>0.69893063043109149</v>
      </c>
      <c r="N59" s="60" t="s">
        <v>52</v>
      </c>
      <c r="O59" s="61">
        <v>0.48097357297926174</v>
      </c>
      <c r="P59" s="60" t="s">
        <v>52</v>
      </c>
      <c r="Q59" s="61">
        <v>0.4071074406452409</v>
      </c>
      <c r="R59" s="60" t="s">
        <v>52</v>
      </c>
      <c r="S59" s="61">
        <v>0.37403634073026165</v>
      </c>
      <c r="T59" s="60" t="s">
        <v>52</v>
      </c>
      <c r="U59" s="61">
        <v>0.41686888544762091</v>
      </c>
      <c r="V59" s="60" t="s">
        <v>52</v>
      </c>
      <c r="W59" s="61">
        <v>0.48138004710968441</v>
      </c>
      <c r="X59" s="60" t="s">
        <v>52</v>
      </c>
      <c r="Y59" s="61">
        <v>0.66001775706990218</v>
      </c>
    </row>
    <row r="60" spans="1:25" ht="15.75" thickBot="1" x14ac:dyDescent="0.3">
      <c r="A60" s="123"/>
      <c r="B60" s="133"/>
      <c r="C60" s="134"/>
      <c r="D60" s="71" t="s">
        <v>212</v>
      </c>
      <c r="E60" s="72" t="s">
        <v>128</v>
      </c>
      <c r="F60" s="71" t="s">
        <v>213</v>
      </c>
      <c r="G60" s="72" t="s">
        <v>214</v>
      </c>
      <c r="H60" s="71" t="s">
        <v>215</v>
      </c>
      <c r="I60" s="72" t="s">
        <v>129</v>
      </c>
      <c r="J60" s="71" t="s">
        <v>216</v>
      </c>
      <c r="K60" s="72" t="s">
        <v>217</v>
      </c>
      <c r="L60" s="71" t="s">
        <v>159</v>
      </c>
      <c r="M60" s="72" t="s">
        <v>218</v>
      </c>
      <c r="N60" s="71" t="s">
        <v>67</v>
      </c>
      <c r="O60" s="72" t="s">
        <v>219</v>
      </c>
      <c r="P60" s="71" t="s">
        <v>64</v>
      </c>
      <c r="Q60" s="72" t="s">
        <v>220</v>
      </c>
      <c r="R60" s="71" t="s">
        <v>221</v>
      </c>
      <c r="S60" s="72" t="s">
        <v>102</v>
      </c>
      <c r="T60" s="71" t="s">
        <v>222</v>
      </c>
      <c r="U60" s="72" t="s">
        <v>95</v>
      </c>
      <c r="V60" s="71" t="s">
        <v>119</v>
      </c>
      <c r="W60" s="72" t="s">
        <v>223</v>
      </c>
      <c r="X60" s="71" t="s">
        <v>233</v>
      </c>
      <c r="Y60" s="72" t="s">
        <v>73</v>
      </c>
    </row>
    <row r="61" spans="1:25" ht="15.75" thickTop="1" x14ac:dyDescent="0.25"/>
    <row r="95" ht="15.75" customHeight="1" x14ac:dyDescent="0.25"/>
    <row r="103" ht="15.75" customHeight="1" x14ac:dyDescent="0.25"/>
  </sheetData>
  <mergeCells count="257">
    <mergeCell ref="B1:E1"/>
    <mergeCell ref="B2:E2"/>
    <mergeCell ref="D7:E7"/>
    <mergeCell ref="F7:G7"/>
    <mergeCell ref="H7:I7"/>
    <mergeCell ref="J7:K7"/>
    <mergeCell ref="X7:Y7"/>
    <mergeCell ref="A8:C8"/>
    <mergeCell ref="D8:E8"/>
    <mergeCell ref="F8:G8"/>
    <mergeCell ref="H8:I8"/>
    <mergeCell ref="J8:K8"/>
    <mergeCell ref="L8:M8"/>
    <mergeCell ref="N8:O8"/>
    <mergeCell ref="P8:Q8"/>
    <mergeCell ref="R8:S8"/>
    <mergeCell ref="L7:M7"/>
    <mergeCell ref="N7:O7"/>
    <mergeCell ref="P7:Q7"/>
    <mergeCell ref="R7:S7"/>
    <mergeCell ref="T7:U7"/>
    <mergeCell ref="V7:W7"/>
    <mergeCell ref="T8:U8"/>
    <mergeCell ref="V8:W8"/>
    <mergeCell ref="X8:Y8"/>
    <mergeCell ref="A9:C9"/>
    <mergeCell ref="A10:C10"/>
    <mergeCell ref="A11:C11"/>
    <mergeCell ref="D11:E11"/>
    <mergeCell ref="F11:G11"/>
    <mergeCell ref="H11:I11"/>
    <mergeCell ref="J11:K11"/>
    <mergeCell ref="A13:C13"/>
    <mergeCell ref="A14:C14"/>
    <mergeCell ref="D14:E14"/>
    <mergeCell ref="F14:G14"/>
    <mergeCell ref="H14:I14"/>
    <mergeCell ref="J14:K14"/>
    <mergeCell ref="L14:M14"/>
    <mergeCell ref="X11:Y11"/>
    <mergeCell ref="A12:C12"/>
    <mergeCell ref="D12:E12"/>
    <mergeCell ref="F12:G12"/>
    <mergeCell ref="H12:I12"/>
    <mergeCell ref="J12:K12"/>
    <mergeCell ref="L12:M12"/>
    <mergeCell ref="N12:O12"/>
    <mergeCell ref="P12:Q12"/>
    <mergeCell ref="R12:S12"/>
    <mergeCell ref="L11:M11"/>
    <mergeCell ref="N11:O11"/>
    <mergeCell ref="P11:Q11"/>
    <mergeCell ref="R11:S11"/>
    <mergeCell ref="T11:U11"/>
    <mergeCell ref="V11:W11"/>
    <mergeCell ref="N14:O14"/>
    <mergeCell ref="P14:Q14"/>
    <mergeCell ref="R14:S14"/>
    <mergeCell ref="T14:U14"/>
    <mergeCell ref="V14:W14"/>
    <mergeCell ref="X14:Y14"/>
    <mergeCell ref="T12:U12"/>
    <mergeCell ref="V12:W12"/>
    <mergeCell ref="X12:Y12"/>
    <mergeCell ref="N15:O15"/>
    <mergeCell ref="P15:Q15"/>
    <mergeCell ref="R15:S15"/>
    <mergeCell ref="T15:U15"/>
    <mergeCell ref="V15:W15"/>
    <mergeCell ref="X15:Y15"/>
    <mergeCell ref="A15:C15"/>
    <mergeCell ref="D15:E15"/>
    <mergeCell ref="F15:G15"/>
    <mergeCell ref="H15:I15"/>
    <mergeCell ref="J15:K15"/>
    <mergeCell ref="L15:M15"/>
    <mergeCell ref="N16:O16"/>
    <mergeCell ref="P16:Q16"/>
    <mergeCell ref="R16:S16"/>
    <mergeCell ref="T16:U16"/>
    <mergeCell ref="V16:W16"/>
    <mergeCell ref="X16:Y16"/>
    <mergeCell ref="A16:C16"/>
    <mergeCell ref="D16:E16"/>
    <mergeCell ref="F16:G16"/>
    <mergeCell ref="H16:I16"/>
    <mergeCell ref="J16:K16"/>
    <mergeCell ref="L16:M16"/>
    <mergeCell ref="P17:Q17"/>
    <mergeCell ref="R17:S17"/>
    <mergeCell ref="T17:U17"/>
    <mergeCell ref="V17:W17"/>
    <mergeCell ref="X17:Y17"/>
    <mergeCell ref="A18:C18"/>
    <mergeCell ref="D18:E18"/>
    <mergeCell ref="F18:G18"/>
    <mergeCell ref="H18:I18"/>
    <mergeCell ref="J18:K18"/>
    <mergeCell ref="D17:E17"/>
    <mergeCell ref="F17:G17"/>
    <mergeCell ref="H17:I17"/>
    <mergeCell ref="J17:K17"/>
    <mergeCell ref="L17:M17"/>
    <mergeCell ref="N17:O17"/>
    <mergeCell ref="X18:Y18"/>
    <mergeCell ref="A19:C19"/>
    <mergeCell ref="D19:E19"/>
    <mergeCell ref="F19:G19"/>
    <mergeCell ref="H19:I19"/>
    <mergeCell ref="J19:K19"/>
    <mergeCell ref="L19:M19"/>
    <mergeCell ref="N19:O19"/>
    <mergeCell ref="P19:Q19"/>
    <mergeCell ref="R19:S19"/>
    <mergeCell ref="L18:M18"/>
    <mergeCell ref="N18:O18"/>
    <mergeCell ref="P18:Q18"/>
    <mergeCell ref="R18:S18"/>
    <mergeCell ref="T18:U18"/>
    <mergeCell ref="V18:W18"/>
    <mergeCell ref="T19:U19"/>
    <mergeCell ref="V19:W19"/>
    <mergeCell ref="X19:Y19"/>
    <mergeCell ref="A20:C20"/>
    <mergeCell ref="A21:J21"/>
    <mergeCell ref="A23:C23"/>
    <mergeCell ref="D23:E23"/>
    <mergeCell ref="F23:G23"/>
    <mergeCell ref="H23:I23"/>
    <mergeCell ref="J23:K23"/>
    <mergeCell ref="T24:U24"/>
    <mergeCell ref="V24:W24"/>
    <mergeCell ref="X24:Y24"/>
    <mergeCell ref="A25:C25"/>
    <mergeCell ref="A26:C26"/>
    <mergeCell ref="A27:C27"/>
    <mergeCell ref="X23:Y23"/>
    <mergeCell ref="A24:C24"/>
    <mergeCell ref="D24:E24"/>
    <mergeCell ref="F24:G24"/>
    <mergeCell ref="H24:I24"/>
    <mergeCell ref="J24:K24"/>
    <mergeCell ref="L24:M24"/>
    <mergeCell ref="N24:O24"/>
    <mergeCell ref="P24:Q24"/>
    <mergeCell ref="R24:S24"/>
    <mergeCell ref="L23:M23"/>
    <mergeCell ref="N23:O23"/>
    <mergeCell ref="P23:Q23"/>
    <mergeCell ref="R23:S23"/>
    <mergeCell ref="T23:U23"/>
    <mergeCell ref="V23:W23"/>
    <mergeCell ref="N28:O28"/>
    <mergeCell ref="P28:Q28"/>
    <mergeCell ref="R28:S28"/>
    <mergeCell ref="T28:U28"/>
    <mergeCell ref="V28:W28"/>
    <mergeCell ref="X28:Y28"/>
    <mergeCell ref="A28:C28"/>
    <mergeCell ref="D28:E28"/>
    <mergeCell ref="F28:G28"/>
    <mergeCell ref="H28:I28"/>
    <mergeCell ref="J28:K28"/>
    <mergeCell ref="L28:M28"/>
    <mergeCell ref="V29:W29"/>
    <mergeCell ref="X29:Y29"/>
    <mergeCell ref="A30:C30"/>
    <mergeCell ref="D30:E30"/>
    <mergeCell ref="F30:G30"/>
    <mergeCell ref="H30:I30"/>
    <mergeCell ref="J30:K30"/>
    <mergeCell ref="L30:M30"/>
    <mergeCell ref="N30:O30"/>
    <mergeCell ref="P30:Q30"/>
    <mergeCell ref="A29:C29"/>
    <mergeCell ref="D29:E29"/>
    <mergeCell ref="F29:G29"/>
    <mergeCell ref="H29:I29"/>
    <mergeCell ref="R29:S29"/>
    <mergeCell ref="T29:U29"/>
    <mergeCell ref="R30:S30"/>
    <mergeCell ref="T30:U30"/>
    <mergeCell ref="V30:W30"/>
    <mergeCell ref="X30:Y30"/>
    <mergeCell ref="A31:C31"/>
    <mergeCell ref="D31:E31"/>
    <mergeCell ref="F31:G31"/>
    <mergeCell ref="H31:I31"/>
    <mergeCell ref="J31:K31"/>
    <mergeCell ref="L31:M31"/>
    <mergeCell ref="T32:U32"/>
    <mergeCell ref="V32:W32"/>
    <mergeCell ref="X32:Y32"/>
    <mergeCell ref="N31:O31"/>
    <mergeCell ref="P31:Q31"/>
    <mergeCell ref="R31:S31"/>
    <mergeCell ref="T31:U31"/>
    <mergeCell ref="V31:W31"/>
    <mergeCell ref="X31:Y31"/>
    <mergeCell ref="A34:C34"/>
    <mergeCell ref="A35:C35"/>
    <mergeCell ref="A36:C36"/>
    <mergeCell ref="A37:C37"/>
    <mergeCell ref="A38:C38"/>
    <mergeCell ref="A39:C39"/>
    <mergeCell ref="D32:E32"/>
    <mergeCell ref="F32:G32"/>
    <mergeCell ref="H32:I32"/>
    <mergeCell ref="N40:O40"/>
    <mergeCell ref="P40:Q40"/>
    <mergeCell ref="R40:S40"/>
    <mergeCell ref="T40:U40"/>
    <mergeCell ref="V40:W40"/>
    <mergeCell ref="X40:Y40"/>
    <mergeCell ref="A40:C40"/>
    <mergeCell ref="D40:E40"/>
    <mergeCell ref="F40:G40"/>
    <mergeCell ref="H40:I40"/>
    <mergeCell ref="J40:K40"/>
    <mergeCell ref="L40:M40"/>
    <mergeCell ref="T41:U41"/>
    <mergeCell ref="V41:W41"/>
    <mergeCell ref="X41:Y41"/>
    <mergeCell ref="A41:C41"/>
    <mergeCell ref="D41:E41"/>
    <mergeCell ref="F41:G41"/>
    <mergeCell ref="H41:I41"/>
    <mergeCell ref="J41:K41"/>
    <mergeCell ref="L41:M41"/>
    <mergeCell ref="A42:J42"/>
    <mergeCell ref="A44:C44"/>
    <mergeCell ref="D44:E44"/>
    <mergeCell ref="F44:G44"/>
    <mergeCell ref="H44:I44"/>
    <mergeCell ref="J44:K44"/>
    <mergeCell ref="N41:O41"/>
    <mergeCell ref="P41:Q41"/>
    <mergeCell ref="R41:S41"/>
    <mergeCell ref="A53:A60"/>
    <mergeCell ref="B53:C53"/>
    <mergeCell ref="B54:C54"/>
    <mergeCell ref="B55:C55"/>
    <mergeCell ref="B56:C56"/>
    <mergeCell ref="B57:C58"/>
    <mergeCell ref="B59:C60"/>
    <mergeCell ref="X44:Y44"/>
    <mergeCell ref="A45:A52"/>
    <mergeCell ref="B45:C46"/>
    <mergeCell ref="B47:C48"/>
    <mergeCell ref="B49:C50"/>
    <mergeCell ref="B51:C52"/>
    <mergeCell ref="L44:M44"/>
    <mergeCell ref="N44:O44"/>
    <mergeCell ref="P44:Q44"/>
    <mergeCell ref="R44:S44"/>
    <mergeCell ref="T44:U44"/>
    <mergeCell ref="V44:W44"/>
  </mergeCells>
  <conditionalFormatting sqref="D7:W7">
    <cfRule type="containsText" dxfId="152" priority="24" operator="containsText" text="Pila">
      <formula>NOT(ISERROR(SEARCH("Pila",D7)))</formula>
    </cfRule>
    <cfRule type="containsText" dxfId="151" priority="25" operator="containsText" text="Spalla">
      <formula>NOT(ISERROR(SEARCH("Spalla",D7)))</formula>
    </cfRule>
  </conditionalFormatting>
  <conditionalFormatting sqref="D9:Y9">
    <cfRule type="cellIs" dxfId="150" priority="23" operator="equal">
      <formula>"B"</formula>
    </cfRule>
  </conditionalFormatting>
  <conditionalFormatting sqref="X7:Y7">
    <cfRule type="containsText" dxfId="149" priority="21" operator="containsText" text="Pila">
      <formula>NOT(ISERROR(SEARCH("Pila",X7)))</formula>
    </cfRule>
    <cfRule type="containsText" dxfId="148" priority="22" operator="containsText" text="Spalla">
      <formula>NOT(ISERROR(SEARCH("Spalla",X7)))</formula>
    </cfRule>
  </conditionalFormatting>
  <conditionalFormatting sqref="D7:E7">
    <cfRule type="containsText" dxfId="147" priority="19" operator="containsText" text="Pila">
      <formula>NOT(ISERROR(SEARCH("Pila",D7)))</formula>
    </cfRule>
    <cfRule type="containsText" dxfId="146" priority="20" operator="containsText" text="Spalla">
      <formula>NOT(ISERROR(SEARCH("Spalla",D7)))</formula>
    </cfRule>
  </conditionalFormatting>
  <conditionalFormatting sqref="A39:C39">
    <cfRule type="cellIs" dxfId="145" priority="18" operator="equal">
      <formula>"F"</formula>
    </cfRule>
  </conditionalFormatting>
  <conditionalFormatting sqref="A34:C38">
    <cfRule type="cellIs" dxfId="144" priority="17" operator="between">
      <formula>41</formula>
      <formula>81</formula>
    </cfRule>
  </conditionalFormatting>
  <conditionalFormatting sqref="A59 A57 A55:E55 A53:E53 A51:E51 A49:E49 A47:E47 A45:E45 D57:E57 D59:E59">
    <cfRule type="containsText" dxfId="143" priority="16" operator="containsText" text="err">
      <formula>NOT(ISERROR(SEARCH("err",A45)))</formula>
    </cfRule>
  </conditionalFormatting>
  <conditionalFormatting sqref="F51:W51 F49:W49 F47:W47">
    <cfRule type="containsText" dxfId="142" priority="15" operator="containsText" text="err">
      <formula>NOT(ISERROR(SEARCH("err",F47)))</formula>
    </cfRule>
  </conditionalFormatting>
  <conditionalFormatting sqref="H45 J45 L45 P45 R45 T45 V45 N45">
    <cfRule type="containsText" dxfId="141" priority="12" operator="containsText" text="err">
      <formula>NOT(ISERROR(SEARCH("err",H45)))</formula>
    </cfRule>
  </conditionalFormatting>
  <conditionalFormatting sqref="F45">
    <cfRule type="containsText" dxfId="140" priority="14" operator="containsText" text="err">
      <formula>NOT(ISERROR(SEARCH("err",F45)))</formula>
    </cfRule>
  </conditionalFormatting>
  <conditionalFormatting sqref="G45">
    <cfRule type="containsText" dxfId="139" priority="13" operator="containsText" text="err">
      <formula>NOT(ISERROR(SEARCH("err",G45)))</formula>
    </cfRule>
  </conditionalFormatting>
  <conditionalFormatting sqref="I45 K45 M45 O45 Q45 S45 U45 W45">
    <cfRule type="containsText" dxfId="138" priority="11" operator="containsText" text="err">
      <formula>NOT(ISERROR(SEARCH("err",I45)))</formula>
    </cfRule>
  </conditionalFormatting>
  <conditionalFormatting sqref="B59:C59 B57:C57">
    <cfRule type="containsText" dxfId="137" priority="10" operator="containsText" text="err">
      <formula>NOT(ISERROR(SEARCH("err",B57)))</formula>
    </cfRule>
  </conditionalFormatting>
  <conditionalFormatting sqref="J55:W55 J53:W53 J57:W57 J59:W59">
    <cfRule type="containsText" dxfId="136" priority="9" operator="containsText" text="err">
      <formula>NOT(ISERROR(SEARCH("err",J53)))</formula>
    </cfRule>
  </conditionalFormatting>
  <conditionalFormatting sqref="F55:I55 F53:I53 F57:I57 F59:I59">
    <cfRule type="containsText" dxfId="135" priority="8" operator="containsText" text="err">
      <formula>NOT(ISERROR(SEARCH("err",F53)))</formula>
    </cfRule>
  </conditionalFormatting>
  <conditionalFormatting sqref="X51:Y51 X49:Y49 X47:Y47">
    <cfRule type="containsText" dxfId="134" priority="7" operator="containsText" text="err">
      <formula>NOT(ISERROR(SEARCH("err",X47)))</formula>
    </cfRule>
  </conditionalFormatting>
  <conditionalFormatting sqref="X45">
    <cfRule type="containsText" dxfId="133" priority="6" operator="containsText" text="err">
      <formula>NOT(ISERROR(SEARCH("err",X45)))</formula>
    </cfRule>
  </conditionalFormatting>
  <conditionalFormatting sqref="Y45">
    <cfRule type="containsText" dxfId="132" priority="5" operator="containsText" text="err">
      <formula>NOT(ISERROR(SEARCH("err",Y45)))</formula>
    </cfRule>
  </conditionalFormatting>
  <conditionalFormatting sqref="X55:Y55 X53:Y53 X57:Y57 X59:Y59">
    <cfRule type="containsText" dxfId="131" priority="4" operator="containsText" text="err">
      <formula>NOT(ISERROR(SEARCH("err",X53)))</formula>
    </cfRule>
  </conditionalFormatting>
  <conditionalFormatting sqref="D39:E39">
    <cfRule type="cellIs" dxfId="130" priority="3" operator="equal">
      <formula>"F"</formula>
    </cfRule>
  </conditionalFormatting>
  <conditionalFormatting sqref="F39:Y39">
    <cfRule type="cellIs" dxfId="129" priority="2" operator="equal">
      <formula>"F"</formula>
    </cfRule>
  </conditionalFormatting>
  <conditionalFormatting sqref="D34:Y38">
    <cfRule type="cellIs" dxfId="128" priority="1" operator="between">
      <formula>41</formula>
      <formula>81</formula>
    </cfRule>
  </conditionalFormatting>
  <pageMargins left="0.7" right="0.7" top="0.75" bottom="0.75" header="0.3" footer="0.3"/>
  <pageSetup paperSize="8" scale="74"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37566-55E8-4A99-9C84-B52F6AB75C91}">
  <sheetPr>
    <pageSetUpPr fitToPage="1"/>
  </sheetPr>
  <dimension ref="A1:Y103"/>
  <sheetViews>
    <sheetView topLeftCell="A25" zoomScale="85" zoomScaleNormal="85" workbookViewId="0">
      <selection activeCell="D44" sqref="D44:Y60"/>
    </sheetView>
  </sheetViews>
  <sheetFormatPr defaultRowHeight="15" x14ac:dyDescent="0.25"/>
  <cols>
    <col min="1" max="1" width="30.42578125" customWidth="1"/>
    <col min="2" max="2" width="16.42578125" bestFit="1" customWidth="1"/>
  </cols>
  <sheetData>
    <row r="1" spans="1:25" x14ac:dyDescent="0.25">
      <c r="A1" s="85" t="s">
        <v>104</v>
      </c>
      <c r="B1" s="163" t="s">
        <v>105</v>
      </c>
      <c r="C1" s="163"/>
      <c r="D1" s="163"/>
      <c r="E1" s="164"/>
    </row>
    <row r="2" spans="1:25" ht="15.75" thickBot="1" x14ac:dyDescent="0.3">
      <c r="A2" s="86" t="s">
        <v>106</v>
      </c>
      <c r="B2" s="165" t="s">
        <v>107</v>
      </c>
      <c r="C2" s="165"/>
      <c r="D2" s="165"/>
      <c r="E2" s="166"/>
    </row>
    <row r="3" spans="1:25" x14ac:dyDescent="0.25">
      <c r="A3" s="73" t="s">
        <v>108</v>
      </c>
      <c r="B3" s="74">
        <v>45128</v>
      </c>
      <c r="C3" s="75"/>
      <c r="D3" s="75"/>
      <c r="E3" s="76"/>
    </row>
    <row r="4" spans="1:25" x14ac:dyDescent="0.25">
      <c r="A4" s="77" t="s">
        <v>109</v>
      </c>
      <c r="B4" s="78" t="s">
        <v>228</v>
      </c>
      <c r="C4" s="79"/>
      <c r="D4" s="79"/>
      <c r="E4" s="80"/>
    </row>
    <row r="5" spans="1:25" ht="15.75" thickBot="1" x14ac:dyDescent="0.3">
      <c r="A5" s="81" t="s">
        <v>110</v>
      </c>
      <c r="B5" s="82" t="s">
        <v>130</v>
      </c>
      <c r="C5" s="83"/>
      <c r="D5" s="83"/>
      <c r="E5" s="84"/>
    </row>
    <row r="7" spans="1:25" ht="15.75" thickBot="1" x14ac:dyDescent="0.3">
      <c r="A7" s="1"/>
      <c r="B7" s="1"/>
      <c r="C7" s="2"/>
      <c r="D7" s="87" t="s">
        <v>29</v>
      </c>
      <c r="E7" s="87"/>
      <c r="F7" s="87" t="s">
        <v>41</v>
      </c>
      <c r="G7" s="87"/>
      <c r="H7" s="87" t="s">
        <v>41</v>
      </c>
      <c r="I7" s="87"/>
      <c r="J7" s="87" t="s">
        <v>41</v>
      </c>
      <c r="K7" s="87"/>
      <c r="L7" s="87" t="s">
        <v>30</v>
      </c>
      <c r="M7" s="87"/>
      <c r="N7" s="87" t="s">
        <v>41</v>
      </c>
      <c r="O7" s="87"/>
      <c r="P7" s="87" t="s">
        <v>41</v>
      </c>
      <c r="Q7" s="87"/>
      <c r="R7" s="87" t="s">
        <v>41</v>
      </c>
      <c r="S7" s="87"/>
      <c r="T7" s="87" t="s">
        <v>41</v>
      </c>
      <c r="U7" s="87"/>
      <c r="V7" s="87" t="s">
        <v>41</v>
      </c>
      <c r="W7" s="87"/>
      <c r="X7" s="87" t="s">
        <v>30</v>
      </c>
      <c r="Y7" s="87"/>
    </row>
    <row r="8" spans="1:25" ht="15.75" thickBot="1" x14ac:dyDescent="0.3">
      <c r="A8" s="104" t="s">
        <v>0</v>
      </c>
      <c r="B8" s="105"/>
      <c r="C8" s="106"/>
      <c r="D8" s="90">
        <v>1</v>
      </c>
      <c r="E8" s="91"/>
      <c r="F8" s="102">
        <v>2</v>
      </c>
      <c r="G8" s="103"/>
      <c r="H8" s="102">
        <v>3</v>
      </c>
      <c r="I8" s="103"/>
      <c r="J8" s="100">
        <v>4</v>
      </c>
      <c r="K8" s="101"/>
      <c r="L8" s="90">
        <v>5</v>
      </c>
      <c r="M8" s="91"/>
      <c r="N8" s="100">
        <v>6</v>
      </c>
      <c r="O8" s="101"/>
      <c r="P8" s="102">
        <v>7</v>
      </c>
      <c r="Q8" s="103"/>
      <c r="R8" s="102">
        <v>8</v>
      </c>
      <c r="S8" s="103"/>
      <c r="T8" s="102">
        <v>9</v>
      </c>
      <c r="U8" s="103"/>
      <c r="V8" s="100">
        <v>10</v>
      </c>
      <c r="W8" s="101"/>
      <c r="X8" s="90">
        <v>11</v>
      </c>
      <c r="Y8" s="91"/>
    </row>
    <row r="9" spans="1:25" ht="16.5" thickTop="1" thickBot="1" x14ac:dyDescent="0.3">
      <c r="A9" s="92" t="s">
        <v>1</v>
      </c>
      <c r="B9" s="93"/>
      <c r="C9" s="94"/>
      <c r="D9" s="3" t="s">
        <v>2</v>
      </c>
      <c r="E9" s="3" t="s">
        <v>2</v>
      </c>
      <c r="F9" s="3" t="s">
        <v>2</v>
      </c>
      <c r="G9" s="3" t="s">
        <v>2</v>
      </c>
      <c r="H9" s="3" t="s">
        <v>2</v>
      </c>
      <c r="I9" s="3" t="s">
        <v>2</v>
      </c>
      <c r="J9" s="3" t="s">
        <v>2</v>
      </c>
      <c r="K9" s="3" t="s">
        <v>2</v>
      </c>
      <c r="L9" s="3" t="s">
        <v>2</v>
      </c>
      <c r="M9" s="3" t="s">
        <v>2</v>
      </c>
      <c r="N9" s="3" t="s">
        <v>2</v>
      </c>
      <c r="O9" s="3" t="s">
        <v>2</v>
      </c>
      <c r="P9" s="3" t="s">
        <v>2</v>
      </c>
      <c r="Q9" s="3" t="s">
        <v>2</v>
      </c>
      <c r="R9" s="3" t="s">
        <v>2</v>
      </c>
      <c r="S9" s="3" t="s">
        <v>2</v>
      </c>
      <c r="T9" s="3" t="s">
        <v>2</v>
      </c>
      <c r="U9" s="3" t="s">
        <v>2</v>
      </c>
      <c r="V9" s="3" t="s">
        <v>2</v>
      </c>
      <c r="W9" s="3" t="s">
        <v>2</v>
      </c>
      <c r="X9" s="3" t="s">
        <v>2</v>
      </c>
      <c r="Y9" s="3" t="s">
        <v>2</v>
      </c>
    </row>
    <row r="10" spans="1:25" ht="15.75" thickTop="1" x14ac:dyDescent="0.25">
      <c r="A10" s="95" t="s">
        <v>3</v>
      </c>
      <c r="B10" s="96"/>
      <c r="C10" s="97"/>
      <c r="D10" s="7">
        <v>5</v>
      </c>
      <c r="E10" s="7">
        <v>26</v>
      </c>
      <c r="F10" s="7">
        <v>5</v>
      </c>
      <c r="G10" s="7">
        <v>20</v>
      </c>
      <c r="H10" s="7">
        <v>5</v>
      </c>
      <c r="I10" s="7">
        <v>20</v>
      </c>
      <c r="J10" s="7">
        <v>10</v>
      </c>
      <c r="K10" s="7">
        <v>26</v>
      </c>
      <c r="L10" s="7">
        <v>10</v>
      </c>
      <c r="M10" s="7">
        <v>26</v>
      </c>
      <c r="N10" s="7">
        <v>10</v>
      </c>
      <c r="O10" s="7">
        <v>26</v>
      </c>
      <c r="P10" s="7">
        <v>10</v>
      </c>
      <c r="Q10" s="7">
        <v>22</v>
      </c>
      <c r="R10" s="7">
        <v>10</v>
      </c>
      <c r="S10" s="7">
        <v>16</v>
      </c>
      <c r="T10" s="7">
        <v>10</v>
      </c>
      <c r="U10" s="7">
        <v>22</v>
      </c>
      <c r="V10" s="7">
        <v>10</v>
      </c>
      <c r="W10" s="7">
        <v>26</v>
      </c>
      <c r="X10" s="7">
        <v>10</v>
      </c>
      <c r="Y10" s="7">
        <v>26</v>
      </c>
    </row>
    <row r="11" spans="1:25" ht="16.5" customHeight="1" x14ac:dyDescent="0.25">
      <c r="A11" s="95" t="s">
        <v>42</v>
      </c>
      <c r="B11" s="96"/>
      <c r="C11" s="97"/>
      <c r="D11" s="179">
        <v>2654.6457922833752</v>
      </c>
      <c r="E11" s="180"/>
      <c r="F11" s="179">
        <v>1570.7963267948965</v>
      </c>
      <c r="G11" s="180"/>
      <c r="H11" s="179">
        <v>1570.7963267948965</v>
      </c>
      <c r="I11" s="180"/>
      <c r="J11" s="179">
        <v>5309.2915845667503</v>
      </c>
      <c r="K11" s="180"/>
      <c r="L11" s="179">
        <v>5309.2915845667503</v>
      </c>
      <c r="M11" s="180"/>
      <c r="N11" s="179">
        <v>5309.2915845667503</v>
      </c>
      <c r="O11" s="180"/>
      <c r="P11" s="179">
        <v>3801.3271108436497</v>
      </c>
      <c r="Q11" s="180"/>
      <c r="R11" s="179">
        <v>2010.6192982974676</v>
      </c>
      <c r="S11" s="180"/>
      <c r="T11" s="179">
        <v>3801.3271108436497</v>
      </c>
      <c r="U11" s="180"/>
      <c r="V11" s="179">
        <v>5309.2915845667503</v>
      </c>
      <c r="W11" s="180"/>
      <c r="X11" s="179">
        <v>5309.2915845667503</v>
      </c>
      <c r="Y11" s="180"/>
    </row>
    <row r="12" spans="1:25" ht="16.5" customHeight="1" thickBot="1" x14ac:dyDescent="0.3">
      <c r="A12" s="95" t="s">
        <v>43</v>
      </c>
      <c r="B12" s="96"/>
      <c r="C12" s="97"/>
      <c r="D12" s="177">
        <v>50</v>
      </c>
      <c r="E12" s="178"/>
      <c r="F12" s="177">
        <v>50</v>
      </c>
      <c r="G12" s="178"/>
      <c r="H12" s="177">
        <v>50</v>
      </c>
      <c r="I12" s="178"/>
      <c r="J12" s="177">
        <v>50</v>
      </c>
      <c r="K12" s="178"/>
      <c r="L12" s="177">
        <v>50</v>
      </c>
      <c r="M12" s="178"/>
      <c r="N12" s="177">
        <v>50</v>
      </c>
      <c r="O12" s="178"/>
      <c r="P12" s="177">
        <v>50</v>
      </c>
      <c r="Q12" s="178"/>
      <c r="R12" s="177">
        <v>50</v>
      </c>
      <c r="S12" s="178"/>
      <c r="T12" s="177">
        <v>50</v>
      </c>
      <c r="U12" s="178"/>
      <c r="V12" s="177">
        <v>50</v>
      </c>
      <c r="W12" s="178"/>
      <c r="X12" s="177">
        <v>50</v>
      </c>
      <c r="Y12" s="178"/>
    </row>
    <row r="13" spans="1:25" ht="16.5" customHeight="1" thickTop="1" x14ac:dyDescent="0.25">
      <c r="A13" s="95" t="s">
        <v>4</v>
      </c>
      <c r="B13" s="96"/>
      <c r="C13" s="97"/>
      <c r="D13" s="7"/>
      <c r="E13" s="7"/>
      <c r="F13" s="7"/>
      <c r="G13" s="7"/>
      <c r="H13" s="7"/>
      <c r="I13" s="7"/>
      <c r="J13" s="7">
        <v>10</v>
      </c>
      <c r="K13" s="7">
        <v>26</v>
      </c>
      <c r="L13" s="7">
        <v>10</v>
      </c>
      <c r="M13" s="7">
        <v>26</v>
      </c>
      <c r="N13" s="7">
        <v>10</v>
      </c>
      <c r="O13" s="7">
        <v>26</v>
      </c>
      <c r="P13" s="7"/>
      <c r="Q13" s="7"/>
      <c r="R13" s="7"/>
      <c r="S13" s="7"/>
      <c r="T13" s="7"/>
      <c r="U13" s="7"/>
      <c r="V13" s="7">
        <v>10</v>
      </c>
      <c r="W13" s="7">
        <v>26</v>
      </c>
      <c r="X13" s="7">
        <v>10</v>
      </c>
      <c r="Y13" s="7">
        <v>26</v>
      </c>
    </row>
    <row r="14" spans="1:25" ht="16.5" customHeight="1" x14ac:dyDescent="0.25">
      <c r="A14" s="95" t="s">
        <v>44</v>
      </c>
      <c r="B14" s="96"/>
      <c r="C14" s="97"/>
      <c r="D14" s="179">
        <v>0</v>
      </c>
      <c r="E14" s="180"/>
      <c r="F14" s="179">
        <v>0</v>
      </c>
      <c r="G14" s="180"/>
      <c r="H14" s="179">
        <v>0</v>
      </c>
      <c r="I14" s="180"/>
      <c r="J14" s="179">
        <v>5309.2915845667503</v>
      </c>
      <c r="K14" s="180"/>
      <c r="L14" s="179">
        <v>5309.2915845667503</v>
      </c>
      <c r="M14" s="180"/>
      <c r="N14" s="179">
        <v>5309.2915845667503</v>
      </c>
      <c r="O14" s="180"/>
      <c r="P14" s="179">
        <v>0</v>
      </c>
      <c r="Q14" s="180"/>
      <c r="R14" s="179">
        <v>0</v>
      </c>
      <c r="S14" s="180"/>
      <c r="T14" s="179">
        <v>0</v>
      </c>
      <c r="U14" s="180"/>
      <c r="V14" s="179">
        <v>5309.2915845667503</v>
      </c>
      <c r="W14" s="180"/>
      <c r="X14" s="179">
        <v>5309.2915845667503</v>
      </c>
      <c r="Y14" s="180"/>
    </row>
    <row r="15" spans="1:25" ht="16.5" customHeight="1" thickBot="1" x14ac:dyDescent="0.3">
      <c r="A15" s="95" t="s">
        <v>5</v>
      </c>
      <c r="B15" s="96"/>
      <c r="C15" s="97"/>
      <c r="D15" s="177">
        <v>289</v>
      </c>
      <c r="E15" s="178"/>
      <c r="F15" s="177">
        <v>289</v>
      </c>
      <c r="G15" s="178"/>
      <c r="H15" s="177">
        <v>289</v>
      </c>
      <c r="I15" s="178"/>
      <c r="J15" s="177">
        <v>270</v>
      </c>
      <c r="K15" s="178"/>
      <c r="L15" s="177">
        <v>270</v>
      </c>
      <c r="M15" s="178"/>
      <c r="N15" s="177">
        <v>270</v>
      </c>
      <c r="O15" s="178"/>
      <c r="P15" s="177">
        <v>289</v>
      </c>
      <c r="Q15" s="178"/>
      <c r="R15" s="177">
        <v>289</v>
      </c>
      <c r="S15" s="178"/>
      <c r="T15" s="177">
        <v>289</v>
      </c>
      <c r="U15" s="178"/>
      <c r="V15" s="177">
        <v>270</v>
      </c>
      <c r="W15" s="178"/>
      <c r="X15" s="177">
        <v>270</v>
      </c>
      <c r="Y15" s="178"/>
    </row>
    <row r="16" spans="1:25" ht="16.5" customHeight="1" thickTop="1" x14ac:dyDescent="0.25">
      <c r="A16" s="95" t="s">
        <v>45</v>
      </c>
      <c r="B16" s="96"/>
      <c r="C16" s="97"/>
      <c r="D16" s="175">
        <v>0</v>
      </c>
      <c r="E16" s="176"/>
      <c r="F16" s="175">
        <v>0</v>
      </c>
      <c r="G16" s="176"/>
      <c r="H16" s="175">
        <v>0</v>
      </c>
      <c r="I16" s="176"/>
      <c r="J16" s="175">
        <v>0</v>
      </c>
      <c r="K16" s="176"/>
      <c r="L16" s="175">
        <v>0</v>
      </c>
      <c r="M16" s="176"/>
      <c r="N16" s="175">
        <v>0</v>
      </c>
      <c r="O16" s="176"/>
      <c r="P16" s="175">
        <v>0</v>
      </c>
      <c r="Q16" s="176"/>
      <c r="R16" s="175">
        <v>0</v>
      </c>
      <c r="S16" s="176"/>
      <c r="T16" s="175">
        <v>0</v>
      </c>
      <c r="U16" s="176"/>
      <c r="V16" s="175">
        <v>0</v>
      </c>
      <c r="W16" s="176"/>
      <c r="X16" s="175">
        <v>0</v>
      </c>
      <c r="Y16" s="176"/>
    </row>
    <row r="17" spans="1:25" ht="16.5" customHeight="1" x14ac:dyDescent="0.25">
      <c r="A17" s="4"/>
      <c r="B17" s="5"/>
      <c r="C17" s="6" t="s">
        <v>6</v>
      </c>
      <c r="D17" s="142">
        <v>0</v>
      </c>
      <c r="E17" s="143"/>
      <c r="F17" s="142">
        <v>0</v>
      </c>
      <c r="G17" s="143"/>
      <c r="H17" s="142">
        <v>0</v>
      </c>
      <c r="I17" s="143"/>
      <c r="J17" s="142">
        <v>0</v>
      </c>
      <c r="K17" s="143"/>
      <c r="L17" s="142">
        <v>0</v>
      </c>
      <c r="M17" s="143"/>
      <c r="N17" s="142">
        <v>0</v>
      </c>
      <c r="O17" s="143"/>
      <c r="P17" s="142">
        <v>0</v>
      </c>
      <c r="Q17" s="143"/>
      <c r="R17" s="142">
        <v>0</v>
      </c>
      <c r="S17" s="143"/>
      <c r="T17" s="142">
        <v>0</v>
      </c>
      <c r="U17" s="143"/>
      <c r="V17" s="142">
        <v>0</v>
      </c>
      <c r="W17" s="143"/>
      <c r="X17" s="142">
        <v>0</v>
      </c>
      <c r="Y17" s="143"/>
    </row>
    <row r="18" spans="1:25" ht="16.5" customHeight="1" x14ac:dyDescent="0.25">
      <c r="A18" s="95" t="s">
        <v>7</v>
      </c>
      <c r="B18" s="96"/>
      <c r="C18" s="97"/>
      <c r="D18" s="142">
        <v>14300</v>
      </c>
      <c r="E18" s="143"/>
      <c r="F18" s="142">
        <v>14300</v>
      </c>
      <c r="G18" s="143"/>
      <c r="H18" s="142">
        <v>14300</v>
      </c>
      <c r="I18" s="143"/>
      <c r="J18" s="142">
        <v>14300</v>
      </c>
      <c r="K18" s="143"/>
      <c r="L18" s="142">
        <v>14300</v>
      </c>
      <c r="M18" s="143"/>
      <c r="N18" s="142">
        <v>14300</v>
      </c>
      <c r="O18" s="143"/>
      <c r="P18" s="142">
        <v>14300</v>
      </c>
      <c r="Q18" s="143"/>
      <c r="R18" s="142">
        <v>14300</v>
      </c>
      <c r="S18" s="143"/>
      <c r="T18" s="142">
        <v>14300</v>
      </c>
      <c r="U18" s="143"/>
      <c r="V18" s="142">
        <v>14300</v>
      </c>
      <c r="W18" s="143"/>
      <c r="X18" s="142">
        <v>14300</v>
      </c>
      <c r="Y18" s="143"/>
    </row>
    <row r="19" spans="1:25" ht="16.5" customHeight="1" x14ac:dyDescent="0.25">
      <c r="A19" s="95" t="s">
        <v>8</v>
      </c>
      <c r="B19" s="96"/>
      <c r="C19" s="97"/>
      <c r="D19" s="142">
        <v>2650</v>
      </c>
      <c r="E19" s="143"/>
      <c r="F19" s="142">
        <v>2650</v>
      </c>
      <c r="G19" s="143"/>
      <c r="H19" s="142">
        <v>2650</v>
      </c>
      <c r="I19" s="143"/>
      <c r="J19" s="142">
        <v>2650</v>
      </c>
      <c r="K19" s="143"/>
      <c r="L19" s="142">
        <v>2650</v>
      </c>
      <c r="M19" s="143"/>
      <c r="N19" s="142">
        <v>2650</v>
      </c>
      <c r="O19" s="143"/>
      <c r="P19" s="142">
        <v>2650</v>
      </c>
      <c r="Q19" s="143"/>
      <c r="R19" s="142">
        <v>2650</v>
      </c>
      <c r="S19" s="143"/>
      <c r="T19" s="142">
        <v>2650</v>
      </c>
      <c r="U19" s="143"/>
      <c r="V19" s="142">
        <v>2650</v>
      </c>
      <c r="W19" s="143"/>
      <c r="X19" s="142">
        <v>2650</v>
      </c>
      <c r="Y19" s="143"/>
    </row>
    <row r="20" spans="1:25" ht="16.5" customHeight="1" thickBot="1" x14ac:dyDescent="0.3">
      <c r="A20" s="144" t="s">
        <v>9</v>
      </c>
      <c r="B20" s="145"/>
      <c r="C20" s="146"/>
      <c r="D20" s="9">
        <v>0</v>
      </c>
      <c r="E20" s="10">
        <v>0</v>
      </c>
      <c r="F20" s="9">
        <v>0</v>
      </c>
      <c r="G20" s="10">
        <v>0</v>
      </c>
      <c r="H20" s="9">
        <v>0</v>
      </c>
      <c r="I20" s="10">
        <v>0</v>
      </c>
      <c r="J20" s="9">
        <v>0</v>
      </c>
      <c r="K20" s="10">
        <v>0</v>
      </c>
      <c r="L20" s="9">
        <v>0</v>
      </c>
      <c r="M20" s="10">
        <v>0</v>
      </c>
      <c r="N20" s="9">
        <v>0</v>
      </c>
      <c r="O20" s="10">
        <v>0</v>
      </c>
      <c r="P20" s="9">
        <v>0</v>
      </c>
      <c r="Q20" s="10">
        <v>0</v>
      </c>
      <c r="R20" s="9">
        <v>0</v>
      </c>
      <c r="S20" s="10">
        <v>0</v>
      </c>
      <c r="T20" s="9">
        <v>0</v>
      </c>
      <c r="U20" s="10">
        <v>0</v>
      </c>
      <c r="V20" s="9">
        <v>0</v>
      </c>
      <c r="W20" s="10">
        <v>0</v>
      </c>
      <c r="X20" s="9">
        <v>0</v>
      </c>
      <c r="Y20" s="10">
        <v>0</v>
      </c>
    </row>
    <row r="21" spans="1:25" ht="18.75" thickBot="1" x14ac:dyDescent="0.3">
      <c r="A21" s="136" t="s">
        <v>10</v>
      </c>
      <c r="B21" s="137"/>
      <c r="C21" s="137"/>
      <c r="D21" s="137"/>
      <c r="E21" s="137"/>
      <c r="F21" s="137"/>
      <c r="G21" s="137"/>
      <c r="H21" s="137"/>
      <c r="I21" s="137"/>
      <c r="J21" s="138"/>
      <c r="K21" s="11"/>
      <c r="L21" s="12"/>
      <c r="M21" s="12"/>
      <c r="N21" s="11"/>
      <c r="O21" s="11"/>
      <c r="P21" s="11"/>
      <c r="Q21" s="11"/>
      <c r="R21" s="11"/>
      <c r="S21" s="11"/>
      <c r="T21" s="11"/>
      <c r="U21" s="11"/>
      <c r="V21" s="11"/>
      <c r="W21" s="11"/>
      <c r="X21" s="12"/>
      <c r="Y21" s="11"/>
    </row>
    <row r="22" spans="1:25" ht="16.5" customHeight="1" thickBot="1" x14ac:dyDescent="0.3">
      <c r="A22" s="13"/>
      <c r="B22" s="14"/>
      <c r="C22" s="8" t="s">
        <v>11</v>
      </c>
      <c r="D22" s="15">
        <v>184</v>
      </c>
      <c r="E22" s="16">
        <v>106.8</v>
      </c>
      <c r="F22" s="15">
        <v>184</v>
      </c>
      <c r="G22" s="16">
        <v>131.625</v>
      </c>
      <c r="H22" s="15">
        <v>184</v>
      </c>
      <c r="I22" s="16">
        <v>105.3</v>
      </c>
      <c r="J22" s="15">
        <v>184</v>
      </c>
      <c r="K22" s="16">
        <v>87.5</v>
      </c>
      <c r="L22" s="15">
        <v>184</v>
      </c>
      <c r="M22" s="16">
        <v>85</v>
      </c>
      <c r="N22" s="17">
        <v>230</v>
      </c>
      <c r="O22" s="18">
        <v>86.666666666666671</v>
      </c>
      <c r="P22" s="17">
        <v>230</v>
      </c>
      <c r="Q22" s="18">
        <v>105.3</v>
      </c>
      <c r="R22" s="17">
        <v>230</v>
      </c>
      <c r="S22" s="18">
        <v>131.625</v>
      </c>
      <c r="T22" s="17">
        <v>230</v>
      </c>
      <c r="U22" s="18">
        <v>105.6</v>
      </c>
      <c r="V22" s="17">
        <v>230</v>
      </c>
      <c r="W22" s="18">
        <v>87.5</v>
      </c>
      <c r="X22" s="15">
        <v>230</v>
      </c>
      <c r="Y22" s="16">
        <v>85</v>
      </c>
    </row>
    <row r="23" spans="1:25" ht="15.75" thickBot="1" x14ac:dyDescent="0.3">
      <c r="A23" s="104" t="s">
        <v>0</v>
      </c>
      <c r="B23" s="105"/>
      <c r="C23" s="106"/>
      <c r="D23" s="90">
        <v>1</v>
      </c>
      <c r="E23" s="91"/>
      <c r="F23" s="102">
        <v>2</v>
      </c>
      <c r="G23" s="103"/>
      <c r="H23" s="102">
        <v>3</v>
      </c>
      <c r="I23" s="103"/>
      <c r="J23" s="100">
        <v>4</v>
      </c>
      <c r="K23" s="101"/>
      <c r="L23" s="90">
        <v>5</v>
      </c>
      <c r="M23" s="91"/>
      <c r="N23" s="100">
        <v>6</v>
      </c>
      <c r="O23" s="101"/>
      <c r="P23" s="102">
        <v>7</v>
      </c>
      <c r="Q23" s="103"/>
      <c r="R23" s="102">
        <v>8</v>
      </c>
      <c r="S23" s="103"/>
      <c r="T23" s="102">
        <v>9</v>
      </c>
      <c r="U23" s="103"/>
      <c r="V23" s="100">
        <v>10</v>
      </c>
      <c r="W23" s="101"/>
      <c r="X23" s="90">
        <v>11</v>
      </c>
      <c r="Y23" s="91"/>
    </row>
    <row r="24" spans="1:25" ht="16.5" customHeight="1" thickTop="1" thickBot="1" x14ac:dyDescent="0.3">
      <c r="A24" s="147" t="s">
        <v>12</v>
      </c>
      <c r="B24" s="148"/>
      <c r="C24" s="148"/>
      <c r="D24" s="173">
        <v>38500</v>
      </c>
      <c r="E24" s="174"/>
      <c r="F24" s="173">
        <v>38500</v>
      </c>
      <c r="G24" s="174"/>
      <c r="H24" s="171">
        <v>38500</v>
      </c>
      <c r="I24" s="172"/>
      <c r="J24" s="171">
        <v>38500</v>
      </c>
      <c r="K24" s="172"/>
      <c r="L24" s="171">
        <v>38500</v>
      </c>
      <c r="M24" s="172"/>
      <c r="N24" s="171">
        <v>50000</v>
      </c>
      <c r="O24" s="172"/>
      <c r="P24" s="171">
        <v>50000</v>
      </c>
      <c r="Q24" s="172"/>
      <c r="R24" s="171">
        <v>50000</v>
      </c>
      <c r="S24" s="172"/>
      <c r="T24" s="171">
        <v>50000</v>
      </c>
      <c r="U24" s="172"/>
      <c r="V24" s="171">
        <v>50000</v>
      </c>
      <c r="W24" s="172"/>
      <c r="X24" s="171">
        <v>50000</v>
      </c>
      <c r="Y24" s="172"/>
    </row>
    <row r="25" spans="1:25" ht="15.75" thickTop="1" x14ac:dyDescent="0.25">
      <c r="A25" s="116" t="s">
        <v>13</v>
      </c>
      <c r="B25" s="117"/>
      <c r="C25" s="117"/>
      <c r="D25" s="19">
        <v>9000</v>
      </c>
      <c r="E25" s="19">
        <v>9000</v>
      </c>
      <c r="F25" s="19">
        <v>9000</v>
      </c>
      <c r="G25" s="19">
        <v>9000</v>
      </c>
      <c r="H25" s="19">
        <v>9000</v>
      </c>
      <c r="I25" s="19">
        <v>9000</v>
      </c>
      <c r="J25" s="19">
        <v>9000</v>
      </c>
      <c r="K25" s="19">
        <v>9000</v>
      </c>
      <c r="L25" s="19">
        <v>9000</v>
      </c>
      <c r="M25" s="19">
        <v>9000</v>
      </c>
      <c r="N25" s="19">
        <v>9000</v>
      </c>
      <c r="O25" s="19">
        <v>9000</v>
      </c>
      <c r="P25" s="19">
        <v>9000</v>
      </c>
      <c r="Q25" s="19">
        <v>9000</v>
      </c>
      <c r="R25" s="19">
        <v>9000</v>
      </c>
      <c r="S25" s="19">
        <v>9000</v>
      </c>
      <c r="T25" s="19">
        <v>9000</v>
      </c>
      <c r="U25" s="19">
        <v>9000</v>
      </c>
      <c r="V25" s="19">
        <v>9000</v>
      </c>
      <c r="W25" s="19">
        <v>9000</v>
      </c>
      <c r="X25" s="19">
        <v>9000</v>
      </c>
      <c r="Y25" s="19">
        <v>9000</v>
      </c>
    </row>
    <row r="26" spans="1:25" ht="16.5" customHeight="1" x14ac:dyDescent="0.25">
      <c r="A26" s="149" t="s">
        <v>14</v>
      </c>
      <c r="B26" s="150"/>
      <c r="C26" s="150"/>
      <c r="D26" s="20">
        <v>0</v>
      </c>
      <c r="E26" s="21">
        <v>0</v>
      </c>
      <c r="F26" s="20">
        <v>0</v>
      </c>
      <c r="G26" s="21">
        <v>0</v>
      </c>
      <c r="H26" s="20">
        <v>0</v>
      </c>
      <c r="I26" s="21">
        <v>0</v>
      </c>
      <c r="J26" s="20">
        <v>0</v>
      </c>
      <c r="K26" s="21">
        <v>0</v>
      </c>
      <c r="L26" s="20">
        <v>0</v>
      </c>
      <c r="M26" s="21">
        <v>0</v>
      </c>
      <c r="N26" s="20">
        <v>0</v>
      </c>
      <c r="O26" s="21">
        <v>0</v>
      </c>
      <c r="P26" s="20">
        <v>0</v>
      </c>
      <c r="Q26" s="21">
        <v>0</v>
      </c>
      <c r="R26" s="20">
        <v>0</v>
      </c>
      <c r="S26" s="21">
        <v>0</v>
      </c>
      <c r="T26" s="20">
        <v>0</v>
      </c>
      <c r="U26" s="21">
        <v>0</v>
      </c>
      <c r="V26" s="20">
        <v>0</v>
      </c>
      <c r="W26" s="21">
        <v>0</v>
      </c>
      <c r="X26" s="20">
        <v>0</v>
      </c>
      <c r="Y26" s="21">
        <v>0</v>
      </c>
    </row>
    <row r="27" spans="1:25" x14ac:dyDescent="0.25">
      <c r="A27" s="88" t="s">
        <v>15</v>
      </c>
      <c r="B27" s="89"/>
      <c r="C27" s="89"/>
      <c r="D27" s="22">
        <v>9000</v>
      </c>
      <c r="E27" s="22">
        <v>9000</v>
      </c>
      <c r="F27" s="22">
        <v>9000</v>
      </c>
      <c r="G27" s="22">
        <v>9000</v>
      </c>
      <c r="H27" s="22">
        <v>9000</v>
      </c>
      <c r="I27" s="22">
        <v>9000</v>
      </c>
      <c r="J27" s="22">
        <v>9000</v>
      </c>
      <c r="K27" s="22">
        <v>9000</v>
      </c>
      <c r="L27" s="22">
        <v>9000</v>
      </c>
      <c r="M27" s="22">
        <v>9000</v>
      </c>
      <c r="N27" s="22">
        <v>9000</v>
      </c>
      <c r="O27" s="22">
        <v>9000</v>
      </c>
      <c r="P27" s="22">
        <v>9000</v>
      </c>
      <c r="Q27" s="22">
        <v>9000</v>
      </c>
      <c r="R27" s="22">
        <v>9000</v>
      </c>
      <c r="S27" s="22">
        <v>9000</v>
      </c>
      <c r="T27" s="22">
        <v>9000</v>
      </c>
      <c r="U27" s="22">
        <v>9000</v>
      </c>
      <c r="V27" s="22">
        <v>9000</v>
      </c>
      <c r="W27" s="22">
        <v>9000</v>
      </c>
      <c r="X27" s="22">
        <v>9000</v>
      </c>
      <c r="Y27" s="22">
        <v>9000</v>
      </c>
    </row>
    <row r="28" spans="1:25" ht="16.5" customHeight="1" x14ac:dyDescent="0.25">
      <c r="A28" s="151" t="s">
        <v>16</v>
      </c>
      <c r="B28" s="152"/>
      <c r="C28" s="152"/>
      <c r="D28" s="142">
        <v>7000</v>
      </c>
      <c r="E28" s="143"/>
      <c r="F28" s="142">
        <v>11000</v>
      </c>
      <c r="G28" s="143"/>
      <c r="H28" s="142">
        <v>10000</v>
      </c>
      <c r="I28" s="143"/>
      <c r="J28" s="142">
        <v>5500</v>
      </c>
      <c r="K28" s="143"/>
      <c r="L28" s="142">
        <v>10000</v>
      </c>
      <c r="M28" s="143"/>
      <c r="N28" s="142">
        <v>7500</v>
      </c>
      <c r="O28" s="143"/>
      <c r="P28" s="142">
        <v>7500</v>
      </c>
      <c r="Q28" s="143"/>
      <c r="R28" s="142">
        <v>10000</v>
      </c>
      <c r="S28" s="143"/>
      <c r="T28" s="142">
        <v>7500</v>
      </c>
      <c r="U28" s="143"/>
      <c r="V28" s="142">
        <v>7500</v>
      </c>
      <c r="W28" s="143"/>
      <c r="X28" s="142">
        <v>10000</v>
      </c>
      <c r="Y28" s="143"/>
    </row>
    <row r="29" spans="1:25" ht="15.75" thickBot="1" x14ac:dyDescent="0.3">
      <c r="A29" s="114" t="s">
        <v>17</v>
      </c>
      <c r="B29" s="115"/>
      <c r="C29" s="115"/>
      <c r="D29" s="169">
        <v>2200</v>
      </c>
      <c r="E29" s="170"/>
      <c r="F29" s="169">
        <v>2200</v>
      </c>
      <c r="G29" s="170"/>
      <c r="H29" s="169">
        <v>2200</v>
      </c>
      <c r="I29" s="170"/>
      <c r="J29" s="23">
        <v>2200</v>
      </c>
      <c r="K29" s="23"/>
      <c r="L29" s="23">
        <v>2200</v>
      </c>
      <c r="M29" s="23"/>
      <c r="N29" s="23">
        <v>2200</v>
      </c>
      <c r="O29" s="23"/>
      <c r="P29" s="23">
        <v>2200</v>
      </c>
      <c r="Q29" s="23"/>
      <c r="R29" s="169">
        <v>2200</v>
      </c>
      <c r="S29" s="170"/>
      <c r="T29" s="169">
        <v>2200</v>
      </c>
      <c r="U29" s="170"/>
      <c r="V29" s="169">
        <v>2200</v>
      </c>
      <c r="W29" s="170"/>
      <c r="X29" s="169">
        <v>2200</v>
      </c>
      <c r="Y29" s="170"/>
    </row>
    <row r="30" spans="1:25" ht="15.75" thickTop="1" x14ac:dyDescent="0.25">
      <c r="A30" s="160" t="s">
        <v>18</v>
      </c>
      <c r="B30" s="161"/>
      <c r="C30" s="162"/>
      <c r="D30" s="153">
        <v>2200</v>
      </c>
      <c r="E30" s="154"/>
      <c r="F30" s="153">
        <v>2200</v>
      </c>
      <c r="G30" s="154"/>
      <c r="H30" s="153">
        <v>2200</v>
      </c>
      <c r="I30" s="154"/>
      <c r="J30" s="153">
        <v>2200</v>
      </c>
      <c r="K30" s="154"/>
      <c r="L30" s="153">
        <v>2200</v>
      </c>
      <c r="M30" s="154"/>
      <c r="N30" s="153">
        <v>2200</v>
      </c>
      <c r="O30" s="154"/>
      <c r="P30" s="153">
        <v>2200</v>
      </c>
      <c r="Q30" s="154"/>
      <c r="R30" s="153">
        <v>2200</v>
      </c>
      <c r="S30" s="154"/>
      <c r="T30" s="153">
        <v>2200</v>
      </c>
      <c r="U30" s="154"/>
      <c r="V30" s="153">
        <v>2200</v>
      </c>
      <c r="W30" s="154"/>
      <c r="X30" s="153">
        <v>2200</v>
      </c>
      <c r="Y30" s="154"/>
    </row>
    <row r="31" spans="1:25" ht="15.75" customHeight="1" x14ac:dyDescent="0.25">
      <c r="A31" s="155" t="s">
        <v>19</v>
      </c>
      <c r="B31" s="156"/>
      <c r="C31" s="157"/>
      <c r="D31" s="158">
        <v>2200</v>
      </c>
      <c r="E31" s="159"/>
      <c r="F31" s="158">
        <v>2200</v>
      </c>
      <c r="G31" s="159"/>
      <c r="H31" s="158">
        <v>2200</v>
      </c>
      <c r="I31" s="159"/>
      <c r="J31" s="158">
        <v>2200</v>
      </c>
      <c r="K31" s="159"/>
      <c r="L31" s="158">
        <v>2200</v>
      </c>
      <c r="M31" s="159"/>
      <c r="N31" s="158">
        <v>2200</v>
      </c>
      <c r="O31" s="159"/>
      <c r="P31" s="158">
        <v>2200</v>
      </c>
      <c r="Q31" s="159"/>
      <c r="R31" s="158">
        <v>2200</v>
      </c>
      <c r="S31" s="159"/>
      <c r="T31" s="158">
        <v>2200</v>
      </c>
      <c r="U31" s="159"/>
      <c r="V31" s="158">
        <v>2200</v>
      </c>
      <c r="W31" s="159"/>
      <c r="X31" s="158">
        <v>2200</v>
      </c>
      <c r="Y31" s="159"/>
    </row>
    <row r="32" spans="1:25" x14ac:dyDescent="0.25">
      <c r="A32" s="24"/>
      <c r="B32" s="25"/>
      <c r="C32" s="26" t="s">
        <v>46</v>
      </c>
      <c r="D32" s="167">
        <v>93120</v>
      </c>
      <c r="E32" s="168"/>
      <c r="F32" s="167">
        <v>108096</v>
      </c>
      <c r="G32" s="168"/>
      <c r="H32" s="167">
        <v>116520</v>
      </c>
      <c r="I32" s="168"/>
      <c r="J32" s="27">
        <v>135400</v>
      </c>
      <c r="K32" s="28"/>
      <c r="L32" s="27">
        <v>216960</v>
      </c>
      <c r="M32" s="28"/>
      <c r="N32" s="27">
        <v>146160</v>
      </c>
      <c r="O32" s="28"/>
      <c r="P32" s="27">
        <v>116520</v>
      </c>
      <c r="Q32" s="28"/>
      <c r="R32" s="27">
        <v>108096</v>
      </c>
      <c r="S32" s="28"/>
      <c r="T32" s="167">
        <v>111840</v>
      </c>
      <c r="U32" s="168"/>
      <c r="V32" s="167">
        <v>138400</v>
      </c>
      <c r="W32" s="168"/>
      <c r="X32" s="167">
        <v>216960</v>
      </c>
      <c r="Y32" s="168"/>
    </row>
    <row r="33" spans="1:25" ht="15.75" thickBot="1" x14ac:dyDescent="0.3">
      <c r="A33" s="29"/>
      <c r="B33" s="30"/>
      <c r="C33" s="31" t="s">
        <v>20</v>
      </c>
      <c r="D33" s="27">
        <v>5116.9440000000004</v>
      </c>
      <c r="E33" s="32">
        <v>730.99199999999996</v>
      </c>
      <c r="F33" s="27">
        <v>9334.0895999999993</v>
      </c>
      <c r="G33" s="32">
        <v>848.55359999999996</v>
      </c>
      <c r="H33" s="27">
        <v>9146.8199999999979</v>
      </c>
      <c r="I33" s="32">
        <v>914.68199999999979</v>
      </c>
      <c r="J33" s="27">
        <v>5845.8949999999986</v>
      </c>
      <c r="K33" s="32">
        <v>1062.8899999999999</v>
      </c>
      <c r="L33" s="27">
        <v>17031.36</v>
      </c>
      <c r="M33" s="32">
        <v>1703.136</v>
      </c>
      <c r="N33" s="27">
        <v>8605.17</v>
      </c>
      <c r="O33" s="32">
        <v>1147.356</v>
      </c>
      <c r="P33" s="27">
        <v>6860.1149999999989</v>
      </c>
      <c r="Q33" s="32">
        <v>914.6819999999999</v>
      </c>
      <c r="R33" s="27">
        <v>8485.5360000000001</v>
      </c>
      <c r="S33" s="32">
        <v>848.55359999999996</v>
      </c>
      <c r="T33" s="27">
        <v>6584.58</v>
      </c>
      <c r="U33" s="32">
        <v>877.94399999999996</v>
      </c>
      <c r="V33" s="27">
        <v>8148.2999999999993</v>
      </c>
      <c r="W33" s="32">
        <v>1086.4399999999998</v>
      </c>
      <c r="X33" s="27">
        <v>17031.36</v>
      </c>
      <c r="Y33" s="32">
        <v>1703.136</v>
      </c>
    </row>
    <row r="34" spans="1:25" ht="15.75" thickTop="1" x14ac:dyDescent="0.25">
      <c r="A34" s="98" t="s">
        <v>21</v>
      </c>
      <c r="B34" s="99"/>
      <c r="C34" s="99"/>
      <c r="D34" s="33">
        <v>600</v>
      </c>
      <c r="E34" s="34">
        <v>24</v>
      </c>
      <c r="F34" s="33">
        <v>600</v>
      </c>
      <c r="G34" s="34">
        <v>24</v>
      </c>
      <c r="H34" s="33">
        <v>600</v>
      </c>
      <c r="I34" s="34">
        <v>24</v>
      </c>
      <c r="J34" s="33">
        <v>700</v>
      </c>
      <c r="K34" s="34">
        <v>30</v>
      </c>
      <c r="L34" s="33">
        <v>900</v>
      </c>
      <c r="M34" s="34">
        <v>40</v>
      </c>
      <c r="N34" s="33">
        <v>800</v>
      </c>
      <c r="O34" s="34">
        <v>40</v>
      </c>
      <c r="P34" s="33">
        <v>600</v>
      </c>
      <c r="Q34" s="34">
        <v>24</v>
      </c>
      <c r="R34" s="33">
        <v>600</v>
      </c>
      <c r="S34" s="34">
        <v>24</v>
      </c>
      <c r="T34" s="33">
        <v>600</v>
      </c>
      <c r="U34" s="34">
        <v>24</v>
      </c>
      <c r="V34" s="33">
        <v>800</v>
      </c>
      <c r="W34" s="34">
        <v>30</v>
      </c>
      <c r="X34" s="33">
        <v>900</v>
      </c>
      <c r="Y34" s="34">
        <v>40</v>
      </c>
    </row>
    <row r="35" spans="1:25" x14ac:dyDescent="0.25">
      <c r="A35" s="88" t="s">
        <v>22</v>
      </c>
      <c r="B35" s="89"/>
      <c r="C35" s="89"/>
      <c r="D35" s="35"/>
      <c r="E35" s="36"/>
      <c r="F35" s="35"/>
      <c r="G35" s="36"/>
      <c r="H35" s="35"/>
      <c r="I35" s="36"/>
      <c r="J35" s="35"/>
      <c r="K35" s="36"/>
      <c r="L35" s="35">
        <v>800</v>
      </c>
      <c r="M35" s="36">
        <v>40</v>
      </c>
      <c r="N35" s="35"/>
      <c r="O35" s="36"/>
      <c r="P35" s="35"/>
      <c r="Q35" s="36"/>
      <c r="R35" s="35"/>
      <c r="S35" s="36"/>
      <c r="T35" s="35"/>
      <c r="U35" s="36"/>
      <c r="V35" s="35"/>
      <c r="W35" s="36"/>
      <c r="X35" s="35">
        <v>800</v>
      </c>
      <c r="Y35" s="36">
        <v>40</v>
      </c>
    </row>
    <row r="36" spans="1:25" x14ac:dyDescent="0.25">
      <c r="A36" s="114" t="s">
        <v>23</v>
      </c>
      <c r="B36" s="115"/>
      <c r="C36" s="115"/>
      <c r="D36" s="37">
        <v>20</v>
      </c>
      <c r="E36" s="38">
        <v>2136</v>
      </c>
      <c r="F36" s="37">
        <v>16</v>
      </c>
      <c r="G36" s="38">
        <v>2106</v>
      </c>
      <c r="H36" s="37">
        <v>20</v>
      </c>
      <c r="I36" s="38">
        <v>2106</v>
      </c>
      <c r="J36" s="37">
        <v>24</v>
      </c>
      <c r="K36" s="38">
        <v>2100</v>
      </c>
      <c r="L36" s="37">
        <v>24</v>
      </c>
      <c r="M36" s="38">
        <v>2040</v>
      </c>
      <c r="N36" s="37">
        <v>24</v>
      </c>
      <c r="O36" s="38">
        <v>2090</v>
      </c>
      <c r="P36" s="37">
        <v>20</v>
      </c>
      <c r="Q36" s="38">
        <v>2106</v>
      </c>
      <c r="R36" s="37">
        <v>16</v>
      </c>
      <c r="S36" s="38">
        <v>2106</v>
      </c>
      <c r="T36" s="37">
        <v>20</v>
      </c>
      <c r="U36" s="38">
        <v>2112</v>
      </c>
      <c r="V36" s="37">
        <v>24</v>
      </c>
      <c r="W36" s="38">
        <v>2100</v>
      </c>
      <c r="X36" s="37">
        <v>24</v>
      </c>
      <c r="Y36" s="38">
        <v>2040</v>
      </c>
    </row>
    <row r="37" spans="1:25" x14ac:dyDescent="0.25">
      <c r="A37" s="116" t="s">
        <v>24</v>
      </c>
      <c r="B37" s="117"/>
      <c r="C37" s="117"/>
      <c r="D37" s="39"/>
      <c r="E37" s="40"/>
      <c r="F37" s="39">
        <v>800</v>
      </c>
      <c r="G37" s="40">
        <v>30</v>
      </c>
      <c r="H37" s="39">
        <v>800</v>
      </c>
      <c r="I37" s="40">
        <v>30</v>
      </c>
      <c r="J37" s="39">
        <v>800</v>
      </c>
      <c r="K37" s="40">
        <v>30</v>
      </c>
      <c r="L37" s="39">
        <v>1200</v>
      </c>
      <c r="M37" s="40">
        <v>40</v>
      </c>
      <c r="N37" s="39">
        <v>800</v>
      </c>
      <c r="O37" s="40">
        <v>30</v>
      </c>
      <c r="P37" s="39">
        <v>800</v>
      </c>
      <c r="Q37" s="40">
        <v>30</v>
      </c>
      <c r="R37" s="39">
        <v>800</v>
      </c>
      <c r="S37" s="40">
        <v>30</v>
      </c>
      <c r="T37" s="39">
        <v>800</v>
      </c>
      <c r="U37" s="40">
        <v>24</v>
      </c>
      <c r="V37" s="39">
        <v>800</v>
      </c>
      <c r="W37" s="40">
        <v>30</v>
      </c>
      <c r="X37" s="39">
        <v>1200</v>
      </c>
      <c r="Y37" s="40">
        <v>40</v>
      </c>
    </row>
    <row r="38" spans="1:25" ht="15.75" thickBot="1" x14ac:dyDescent="0.3">
      <c r="A38" s="112" t="s">
        <v>25</v>
      </c>
      <c r="B38" s="113"/>
      <c r="C38" s="113"/>
      <c r="D38" s="41">
        <v>900</v>
      </c>
      <c r="E38" s="42">
        <v>40</v>
      </c>
      <c r="F38" s="41">
        <v>900</v>
      </c>
      <c r="G38" s="42">
        <v>40</v>
      </c>
      <c r="H38" s="41">
        <v>900</v>
      </c>
      <c r="I38" s="42">
        <v>40</v>
      </c>
      <c r="J38" s="41">
        <v>1000</v>
      </c>
      <c r="K38" s="42">
        <v>40</v>
      </c>
      <c r="L38" s="41">
        <v>1300</v>
      </c>
      <c r="M38" s="42">
        <v>40</v>
      </c>
      <c r="N38" s="41">
        <v>1000</v>
      </c>
      <c r="O38" s="42">
        <v>40</v>
      </c>
      <c r="P38" s="41">
        <v>900</v>
      </c>
      <c r="Q38" s="42">
        <v>40</v>
      </c>
      <c r="R38" s="41">
        <v>900</v>
      </c>
      <c r="S38" s="42">
        <v>40</v>
      </c>
      <c r="T38" s="41">
        <v>900</v>
      </c>
      <c r="U38" s="42">
        <v>40</v>
      </c>
      <c r="V38" s="41">
        <v>1000</v>
      </c>
      <c r="W38" s="42">
        <v>40</v>
      </c>
      <c r="X38" s="41">
        <v>1300</v>
      </c>
      <c r="Y38" s="42">
        <v>40</v>
      </c>
    </row>
    <row r="39" spans="1:25" ht="15.75" thickBot="1" x14ac:dyDescent="0.3">
      <c r="A39" s="109" t="s">
        <v>26</v>
      </c>
      <c r="B39" s="110"/>
      <c r="C39" s="111"/>
      <c r="D39" s="43" t="s">
        <v>47</v>
      </c>
      <c r="E39" s="44" t="s">
        <v>47</v>
      </c>
      <c r="F39" s="43" t="s">
        <v>47</v>
      </c>
      <c r="G39" s="44" t="s">
        <v>47</v>
      </c>
      <c r="H39" s="43" t="s">
        <v>47</v>
      </c>
      <c r="I39" s="44" t="s">
        <v>47</v>
      </c>
      <c r="J39" s="43" t="s">
        <v>47</v>
      </c>
      <c r="K39" s="44" t="s">
        <v>48</v>
      </c>
      <c r="L39" s="43" t="s">
        <v>47</v>
      </c>
      <c r="M39" s="44" t="s">
        <v>48</v>
      </c>
      <c r="N39" s="43" t="s">
        <v>47</v>
      </c>
      <c r="O39" s="44" t="s">
        <v>48</v>
      </c>
      <c r="P39" s="43" t="s">
        <v>47</v>
      </c>
      <c r="Q39" s="44" t="s">
        <v>47</v>
      </c>
      <c r="R39" s="43" t="s">
        <v>47</v>
      </c>
      <c r="S39" s="44" t="s">
        <v>47</v>
      </c>
      <c r="T39" s="43" t="s">
        <v>47</v>
      </c>
      <c r="U39" s="44" t="s">
        <v>47</v>
      </c>
      <c r="V39" s="43" t="s">
        <v>47</v>
      </c>
      <c r="W39" s="44" t="s">
        <v>48</v>
      </c>
      <c r="X39" s="43" t="s">
        <v>47</v>
      </c>
      <c r="Y39" s="44" t="s">
        <v>48</v>
      </c>
    </row>
    <row r="40" spans="1:25" ht="15.75" customHeight="1" x14ac:dyDescent="0.25">
      <c r="A40" s="96" t="s">
        <v>27</v>
      </c>
      <c r="B40" s="118"/>
      <c r="C40" s="118"/>
      <c r="D40" s="107" t="s">
        <v>49</v>
      </c>
      <c r="E40" s="108"/>
      <c r="F40" s="107" t="s">
        <v>49</v>
      </c>
      <c r="G40" s="108"/>
      <c r="H40" s="107" t="s">
        <v>49</v>
      </c>
      <c r="I40" s="108"/>
      <c r="J40" s="107" t="s">
        <v>50</v>
      </c>
      <c r="K40" s="108"/>
      <c r="L40" s="107" t="s">
        <v>50</v>
      </c>
      <c r="M40" s="108"/>
      <c r="N40" s="107" t="s">
        <v>50</v>
      </c>
      <c r="O40" s="108"/>
      <c r="P40" s="107" t="s">
        <v>49</v>
      </c>
      <c r="Q40" s="108"/>
      <c r="R40" s="107" t="s">
        <v>49</v>
      </c>
      <c r="S40" s="108"/>
      <c r="T40" s="107" t="s">
        <v>49</v>
      </c>
      <c r="U40" s="108"/>
      <c r="V40" s="107" t="s">
        <v>50</v>
      </c>
      <c r="W40" s="108"/>
      <c r="X40" s="107" t="s">
        <v>50</v>
      </c>
      <c r="Y40" s="108"/>
    </row>
    <row r="41" spans="1:25" ht="15.75" customHeight="1" thickBot="1" x14ac:dyDescent="0.3">
      <c r="A41" s="135" t="s">
        <v>28</v>
      </c>
      <c r="B41" s="135"/>
      <c r="C41" s="135"/>
      <c r="D41" s="119" t="s">
        <v>69</v>
      </c>
      <c r="E41" s="120"/>
      <c r="F41" s="119" t="s">
        <v>51</v>
      </c>
      <c r="G41" s="120"/>
      <c r="H41" s="119" t="s">
        <v>51</v>
      </c>
      <c r="I41" s="120"/>
      <c r="J41" s="119" t="s">
        <v>51</v>
      </c>
      <c r="K41" s="120"/>
      <c r="L41" s="119" t="s">
        <v>51</v>
      </c>
      <c r="M41" s="120"/>
      <c r="N41" s="119" t="s">
        <v>51</v>
      </c>
      <c r="O41" s="120"/>
      <c r="P41" s="119" t="s">
        <v>51</v>
      </c>
      <c r="Q41" s="120"/>
      <c r="R41" s="119" t="s">
        <v>51</v>
      </c>
      <c r="S41" s="120"/>
      <c r="T41" s="119" t="s">
        <v>97</v>
      </c>
      <c r="U41" s="120"/>
      <c r="V41" s="119" t="s">
        <v>51</v>
      </c>
      <c r="W41" s="120"/>
      <c r="X41" s="119" t="s">
        <v>51</v>
      </c>
      <c r="Y41" s="120"/>
    </row>
    <row r="42" spans="1:25" ht="15.75" customHeight="1" thickBot="1" x14ac:dyDescent="0.3">
      <c r="A42" s="136" t="s">
        <v>31</v>
      </c>
      <c r="B42" s="137"/>
      <c r="C42" s="137"/>
      <c r="D42" s="137"/>
      <c r="E42" s="137"/>
      <c r="F42" s="137"/>
      <c r="G42" s="137"/>
      <c r="H42" s="137"/>
      <c r="I42" s="137"/>
      <c r="J42" s="138"/>
      <c r="K42" s="47"/>
      <c r="L42" s="48" t="s">
        <v>32</v>
      </c>
      <c r="M42" s="45">
        <v>12</v>
      </c>
      <c r="N42" s="45" t="s">
        <v>53</v>
      </c>
      <c r="O42" s="45"/>
      <c r="P42" s="45"/>
      <c r="Q42" s="46"/>
      <c r="R42" s="48" t="s">
        <v>32</v>
      </c>
      <c r="S42" s="45">
        <v>12</v>
      </c>
      <c r="T42" s="45" t="s">
        <v>53</v>
      </c>
      <c r="U42" s="45"/>
      <c r="V42" s="45"/>
      <c r="W42" s="46"/>
      <c r="X42" s="48" t="s">
        <v>33</v>
      </c>
      <c r="Y42" s="45">
        <v>23</v>
      </c>
    </row>
    <row r="43" spans="1:25" ht="18.75" thickBot="1" x14ac:dyDescent="0.3">
      <c r="A43" s="49"/>
      <c r="B43" s="50"/>
      <c r="C43" s="50"/>
      <c r="D43" s="51"/>
      <c r="E43" s="51"/>
      <c r="F43" s="52"/>
      <c r="G43" s="52"/>
      <c r="H43" s="52"/>
      <c r="I43" s="52"/>
      <c r="J43" s="53"/>
      <c r="K43" s="54"/>
      <c r="L43" s="53"/>
      <c r="M43" s="53"/>
      <c r="N43" s="2"/>
      <c r="O43" s="2"/>
      <c r="P43" s="53"/>
      <c r="Q43" s="53"/>
      <c r="R43" s="55"/>
      <c r="S43" s="55"/>
      <c r="T43" s="53"/>
      <c r="U43" s="53"/>
      <c r="V43" s="53"/>
      <c r="W43" s="53"/>
      <c r="X43" s="53"/>
      <c r="Y43" s="53"/>
    </row>
    <row r="44" spans="1:25" ht="15.75" thickBot="1" x14ac:dyDescent="0.3">
      <c r="A44" s="104" t="s">
        <v>0</v>
      </c>
      <c r="B44" s="105"/>
      <c r="C44" s="106"/>
      <c r="D44" s="90">
        <v>1</v>
      </c>
      <c r="E44" s="91"/>
      <c r="F44" s="102">
        <v>2</v>
      </c>
      <c r="G44" s="103"/>
      <c r="H44" s="102">
        <v>3</v>
      </c>
      <c r="I44" s="103"/>
      <c r="J44" s="100">
        <v>4</v>
      </c>
      <c r="K44" s="101"/>
      <c r="L44" s="90">
        <v>5</v>
      </c>
      <c r="M44" s="91"/>
      <c r="N44" s="100">
        <v>6</v>
      </c>
      <c r="O44" s="101"/>
      <c r="P44" s="102">
        <v>7</v>
      </c>
      <c r="Q44" s="103"/>
      <c r="R44" s="102">
        <v>8</v>
      </c>
      <c r="S44" s="103"/>
      <c r="T44" s="102">
        <v>9</v>
      </c>
      <c r="U44" s="103"/>
      <c r="V44" s="100">
        <v>10</v>
      </c>
      <c r="W44" s="101"/>
      <c r="X44" s="90">
        <v>11</v>
      </c>
      <c r="Y44" s="91"/>
    </row>
    <row r="45" spans="1:25" ht="15.75" thickTop="1" x14ac:dyDescent="0.25">
      <c r="A45" s="139" t="s">
        <v>34</v>
      </c>
      <c r="B45" s="124" t="s">
        <v>35</v>
      </c>
      <c r="C45" s="125"/>
      <c r="D45" s="56" t="s">
        <v>52</v>
      </c>
      <c r="E45" s="57">
        <v>0.42339834815483152</v>
      </c>
      <c r="F45" s="56" t="s">
        <v>52</v>
      </c>
      <c r="G45" s="57">
        <v>0.57984644410424602</v>
      </c>
      <c r="H45" s="56" t="s">
        <v>52</v>
      </c>
      <c r="I45" s="57">
        <v>0.43822278762669664</v>
      </c>
      <c r="J45" s="56" t="s">
        <v>52</v>
      </c>
      <c r="K45" s="57">
        <v>9.5478766115887168E-2</v>
      </c>
      <c r="L45" s="56" t="s">
        <v>52</v>
      </c>
      <c r="M45" s="57">
        <v>0.2221096713234289</v>
      </c>
      <c r="N45" s="56" t="s">
        <v>52</v>
      </c>
      <c r="O45" s="57">
        <v>2.4777282725303171E-3</v>
      </c>
      <c r="P45" s="56" t="s">
        <v>52</v>
      </c>
      <c r="Q45" s="57">
        <v>0.40484877676847147</v>
      </c>
      <c r="R45" s="56" t="s">
        <v>52</v>
      </c>
      <c r="S45" s="57">
        <v>0.54438402928663909</v>
      </c>
      <c r="T45" s="56" t="s">
        <v>52</v>
      </c>
      <c r="U45" s="57">
        <v>0.40244195209911132</v>
      </c>
      <c r="V45" s="56" t="s">
        <v>52</v>
      </c>
      <c r="W45" s="57">
        <v>8.8831180067979153E-3</v>
      </c>
      <c r="X45" s="56" t="s">
        <v>52</v>
      </c>
      <c r="Y45" s="57">
        <v>0.23024770371790285</v>
      </c>
    </row>
    <row r="46" spans="1:25" x14ac:dyDescent="0.25">
      <c r="A46" s="140"/>
      <c r="B46" s="131"/>
      <c r="C46" s="132"/>
      <c r="D46" s="58" t="s">
        <v>80</v>
      </c>
      <c r="E46" s="59" t="s">
        <v>70</v>
      </c>
      <c r="F46" s="58" t="s">
        <v>131</v>
      </c>
      <c r="G46" s="59" t="s">
        <v>82</v>
      </c>
      <c r="H46" s="58" t="s">
        <v>132</v>
      </c>
      <c r="I46" s="59" t="s">
        <v>111</v>
      </c>
      <c r="J46" s="58" t="s">
        <v>133</v>
      </c>
      <c r="K46" s="59" t="s">
        <v>112</v>
      </c>
      <c r="L46" s="58" t="s">
        <v>134</v>
      </c>
      <c r="M46" s="59" t="s">
        <v>135</v>
      </c>
      <c r="N46" s="58" t="s">
        <v>136</v>
      </c>
      <c r="O46" s="59" t="s">
        <v>137</v>
      </c>
      <c r="P46" s="58" t="s">
        <v>63</v>
      </c>
      <c r="Q46" s="59" t="s">
        <v>138</v>
      </c>
      <c r="R46" s="58" t="s">
        <v>139</v>
      </c>
      <c r="S46" s="59" t="s">
        <v>140</v>
      </c>
      <c r="T46" s="58" t="s">
        <v>141</v>
      </c>
      <c r="U46" s="59" t="s">
        <v>142</v>
      </c>
      <c r="V46" s="58" t="s">
        <v>143</v>
      </c>
      <c r="W46" s="59" t="s">
        <v>144</v>
      </c>
      <c r="X46" s="58" t="s">
        <v>113</v>
      </c>
      <c r="Y46" s="59" t="s">
        <v>76</v>
      </c>
    </row>
    <row r="47" spans="1:25" x14ac:dyDescent="0.25">
      <c r="A47" s="140"/>
      <c r="B47" s="130" t="s">
        <v>36</v>
      </c>
      <c r="C47" s="129"/>
      <c r="D47" s="60" t="s">
        <v>52</v>
      </c>
      <c r="E47" s="61">
        <v>5.712623371577111E-5</v>
      </c>
      <c r="F47" s="60" t="s">
        <v>52</v>
      </c>
      <c r="G47" s="61">
        <v>0.45123007026387157</v>
      </c>
      <c r="H47" s="60" t="s">
        <v>52</v>
      </c>
      <c r="I47" s="61">
        <v>0.12551842433142091</v>
      </c>
      <c r="J47" s="60" t="s">
        <v>52</v>
      </c>
      <c r="K47" s="61">
        <v>9.214224667321802E-2</v>
      </c>
      <c r="L47" s="60" t="s">
        <v>52</v>
      </c>
      <c r="M47" s="61">
        <v>0.4372538027984379</v>
      </c>
      <c r="N47" s="60" t="s">
        <v>52</v>
      </c>
      <c r="O47" s="61">
        <v>0.40883911569609027</v>
      </c>
      <c r="P47" s="60" t="s">
        <v>52</v>
      </c>
      <c r="Q47" s="61">
        <v>1.5122729838692337E-2</v>
      </c>
      <c r="R47" s="60" t="s">
        <v>52</v>
      </c>
      <c r="S47" s="61">
        <v>0.44395636091226326</v>
      </c>
      <c r="T47" s="60" t="s">
        <v>52</v>
      </c>
      <c r="U47" s="61">
        <v>1.4650479855947234E-2</v>
      </c>
      <c r="V47" s="60" t="s">
        <v>52</v>
      </c>
      <c r="W47" s="61">
        <v>0.48542386850826669</v>
      </c>
      <c r="X47" s="60" t="s">
        <v>52</v>
      </c>
      <c r="Y47" s="61">
        <v>0.44719450530556065</v>
      </c>
    </row>
    <row r="48" spans="1:25" x14ac:dyDescent="0.25">
      <c r="A48" s="140"/>
      <c r="B48" s="131"/>
      <c r="C48" s="132"/>
      <c r="D48" s="62" t="s">
        <v>57</v>
      </c>
      <c r="E48" s="59" t="s">
        <v>58</v>
      </c>
      <c r="F48" s="62" t="s">
        <v>145</v>
      </c>
      <c r="G48" s="59" t="s">
        <v>146</v>
      </c>
      <c r="H48" s="62" t="s">
        <v>234</v>
      </c>
      <c r="I48" s="59" t="s">
        <v>148</v>
      </c>
      <c r="J48" s="62" t="s">
        <v>68</v>
      </c>
      <c r="K48" s="59" t="s">
        <v>114</v>
      </c>
      <c r="L48" s="62" t="s">
        <v>149</v>
      </c>
      <c r="M48" s="59" t="s">
        <v>81</v>
      </c>
      <c r="N48" s="62" t="s">
        <v>85</v>
      </c>
      <c r="O48" s="59" t="s">
        <v>150</v>
      </c>
      <c r="P48" s="62" t="s">
        <v>151</v>
      </c>
      <c r="Q48" s="59" t="s">
        <v>89</v>
      </c>
      <c r="R48" s="62" t="s">
        <v>120</v>
      </c>
      <c r="S48" s="59" t="s">
        <v>152</v>
      </c>
      <c r="T48" s="62" t="s">
        <v>151</v>
      </c>
      <c r="U48" s="59" t="s">
        <v>89</v>
      </c>
      <c r="V48" s="62" t="s">
        <v>153</v>
      </c>
      <c r="W48" s="59" t="s">
        <v>101</v>
      </c>
      <c r="X48" s="62" t="s">
        <v>154</v>
      </c>
      <c r="Y48" s="59" t="s">
        <v>155</v>
      </c>
    </row>
    <row r="49" spans="1:25" x14ac:dyDescent="0.25">
      <c r="A49" s="140"/>
      <c r="B49" s="130" t="s">
        <v>37</v>
      </c>
      <c r="C49" s="129"/>
      <c r="D49" s="60" t="s">
        <v>52</v>
      </c>
      <c r="E49" s="61">
        <v>0.23142294868843433</v>
      </c>
      <c r="F49" s="60" t="s">
        <v>52</v>
      </c>
      <c r="G49" s="61">
        <v>0.15820934821911498</v>
      </c>
      <c r="H49" s="60" t="s">
        <v>52</v>
      </c>
      <c r="I49" s="61">
        <v>0.27007484007596516</v>
      </c>
      <c r="J49" s="60" t="s">
        <v>52</v>
      </c>
      <c r="K49" s="61">
        <v>0.2547901956152423</v>
      </c>
      <c r="L49" s="60" t="s">
        <v>52</v>
      </c>
      <c r="M49" s="61">
        <v>0.28685230722597493</v>
      </c>
      <c r="N49" s="60" t="s">
        <v>52</v>
      </c>
      <c r="O49" s="61">
        <v>0.24784022615694881</v>
      </c>
      <c r="P49" s="60" t="s">
        <v>52</v>
      </c>
      <c r="Q49" s="61">
        <v>0.22498986384116557</v>
      </c>
      <c r="R49" s="60" t="s">
        <v>52</v>
      </c>
      <c r="S49" s="61">
        <v>0.13544772141677058</v>
      </c>
      <c r="T49" s="60" t="s">
        <v>52</v>
      </c>
      <c r="U49" s="61">
        <v>0.22616402374562197</v>
      </c>
      <c r="V49" s="60" t="s">
        <v>52</v>
      </c>
      <c r="W49" s="61">
        <v>0.25250005689359362</v>
      </c>
      <c r="X49" s="60" t="s">
        <v>52</v>
      </c>
      <c r="Y49" s="61">
        <v>0.28581954429708561</v>
      </c>
    </row>
    <row r="50" spans="1:25" x14ac:dyDescent="0.25">
      <c r="A50" s="140"/>
      <c r="B50" s="131"/>
      <c r="C50" s="132"/>
      <c r="D50" s="62" t="s">
        <v>79</v>
      </c>
      <c r="E50" s="59" t="s">
        <v>74</v>
      </c>
      <c r="F50" s="62" t="s">
        <v>100</v>
      </c>
      <c r="G50" s="59" t="s">
        <v>116</v>
      </c>
      <c r="H50" s="62" t="s">
        <v>156</v>
      </c>
      <c r="I50" s="59" t="s">
        <v>117</v>
      </c>
      <c r="J50" s="62" t="s">
        <v>157</v>
      </c>
      <c r="K50" s="59" t="s">
        <v>86</v>
      </c>
      <c r="L50" s="62" t="s">
        <v>115</v>
      </c>
      <c r="M50" s="59" t="s">
        <v>158</v>
      </c>
      <c r="N50" s="62" t="s">
        <v>159</v>
      </c>
      <c r="O50" s="59" t="s">
        <v>88</v>
      </c>
      <c r="P50" s="62" t="s">
        <v>160</v>
      </c>
      <c r="Q50" s="59" t="s">
        <v>161</v>
      </c>
      <c r="R50" s="62" t="s">
        <v>162</v>
      </c>
      <c r="S50" s="59" t="s">
        <v>163</v>
      </c>
      <c r="T50" s="62" t="s">
        <v>66</v>
      </c>
      <c r="U50" s="59" t="s">
        <v>164</v>
      </c>
      <c r="V50" s="62" t="s">
        <v>165</v>
      </c>
      <c r="W50" s="59" t="s">
        <v>166</v>
      </c>
      <c r="X50" s="62" t="s">
        <v>167</v>
      </c>
      <c r="Y50" s="59" t="s">
        <v>168</v>
      </c>
    </row>
    <row r="51" spans="1:25" x14ac:dyDescent="0.25">
      <c r="A51" s="140"/>
      <c r="B51" s="130" t="s">
        <v>38</v>
      </c>
      <c r="C51" s="129"/>
      <c r="D51" s="60" t="s">
        <v>52</v>
      </c>
      <c r="E51" s="61">
        <v>0.12385232869508439</v>
      </c>
      <c r="F51" s="60" t="s">
        <v>52</v>
      </c>
      <c r="G51" s="61">
        <v>5.8458522975363388E-3</v>
      </c>
      <c r="H51" s="60" t="s">
        <v>52</v>
      </c>
      <c r="I51" s="61">
        <v>9.5475298712151352E-2</v>
      </c>
      <c r="J51" s="60" t="s">
        <v>52</v>
      </c>
      <c r="K51" s="61">
        <v>0.18989897777776557</v>
      </c>
      <c r="L51" s="60" t="s">
        <v>52</v>
      </c>
      <c r="M51" s="61">
        <v>0.22136091052520851</v>
      </c>
      <c r="N51" s="60" t="s">
        <v>52</v>
      </c>
      <c r="O51" s="61">
        <v>0.15429945178170343</v>
      </c>
      <c r="P51" s="60" t="s">
        <v>52</v>
      </c>
      <c r="Q51" s="61">
        <v>8.8891774468194462E-2</v>
      </c>
      <c r="R51" s="60" t="s">
        <v>52</v>
      </c>
      <c r="S51" s="61">
        <v>1.8309882901291793E-3</v>
      </c>
      <c r="T51" s="60" t="s">
        <v>52</v>
      </c>
      <c r="U51" s="61">
        <v>9.3782622121196771E-2</v>
      </c>
      <c r="V51" s="60" t="s">
        <v>52</v>
      </c>
      <c r="W51" s="61">
        <v>0.15842545339175748</v>
      </c>
      <c r="X51" s="60" t="s">
        <v>52</v>
      </c>
      <c r="Y51" s="61">
        <v>0.21938622484653797</v>
      </c>
    </row>
    <row r="52" spans="1:25" ht="15.75" thickBot="1" x14ac:dyDescent="0.3">
      <c r="A52" s="141"/>
      <c r="B52" s="133"/>
      <c r="C52" s="134"/>
      <c r="D52" s="63" t="s">
        <v>80</v>
      </c>
      <c r="E52" s="64" t="s">
        <v>70</v>
      </c>
      <c r="F52" s="63" t="s">
        <v>131</v>
      </c>
      <c r="G52" s="64" t="s">
        <v>82</v>
      </c>
      <c r="H52" s="63" t="s">
        <v>132</v>
      </c>
      <c r="I52" s="64" t="s">
        <v>111</v>
      </c>
      <c r="J52" s="63" t="s">
        <v>235</v>
      </c>
      <c r="K52" s="64" t="s">
        <v>112</v>
      </c>
      <c r="L52" s="63" t="s">
        <v>134</v>
      </c>
      <c r="M52" s="64" t="s">
        <v>135</v>
      </c>
      <c r="N52" s="63" t="s">
        <v>136</v>
      </c>
      <c r="O52" s="64" t="s">
        <v>137</v>
      </c>
      <c r="P52" s="63" t="s">
        <v>63</v>
      </c>
      <c r="Q52" s="64" t="s">
        <v>138</v>
      </c>
      <c r="R52" s="63" t="s">
        <v>139</v>
      </c>
      <c r="S52" s="64" t="s">
        <v>140</v>
      </c>
      <c r="T52" s="63" t="s">
        <v>141</v>
      </c>
      <c r="U52" s="64" t="s">
        <v>142</v>
      </c>
      <c r="V52" s="63" t="s">
        <v>143</v>
      </c>
      <c r="W52" s="64" t="s">
        <v>144</v>
      </c>
      <c r="X52" s="63" t="s">
        <v>113</v>
      </c>
      <c r="Y52" s="64" t="s">
        <v>76</v>
      </c>
    </row>
    <row r="53" spans="1:25" ht="15.75" customHeight="1" thickTop="1" x14ac:dyDescent="0.25">
      <c r="A53" s="121" t="s">
        <v>39</v>
      </c>
      <c r="B53" s="124" t="s">
        <v>35</v>
      </c>
      <c r="C53" s="125"/>
      <c r="D53" s="65" t="s">
        <v>61</v>
      </c>
      <c r="E53" s="66">
        <v>0.84605246790029243</v>
      </c>
      <c r="F53" s="65" t="s">
        <v>61</v>
      </c>
      <c r="G53" s="66">
        <v>0.82779718510660993</v>
      </c>
      <c r="H53" s="65" t="s">
        <v>61</v>
      </c>
      <c r="I53" s="66">
        <v>0.73905048188090428</v>
      </c>
      <c r="J53" s="65" t="s">
        <v>61</v>
      </c>
      <c r="K53" s="66">
        <v>0.14554887143758161</v>
      </c>
      <c r="L53" s="65" t="s">
        <v>62</v>
      </c>
      <c r="M53" s="66">
        <v>0.24371595958508405</v>
      </c>
      <c r="N53" s="65" t="s">
        <v>61</v>
      </c>
      <c r="O53" s="66">
        <v>0.25401398840680278</v>
      </c>
      <c r="P53" s="65" t="s">
        <v>61</v>
      </c>
      <c r="Q53" s="66">
        <v>0.73157772132250298</v>
      </c>
      <c r="R53" s="65" t="s">
        <v>61</v>
      </c>
      <c r="S53" s="66">
        <v>0.82574443211482673</v>
      </c>
      <c r="T53" s="65" t="s">
        <v>61</v>
      </c>
      <c r="U53" s="66">
        <v>0.76139778046964357</v>
      </c>
      <c r="V53" s="65" t="s">
        <v>61</v>
      </c>
      <c r="W53" s="66">
        <v>0.22246025678110362</v>
      </c>
      <c r="X53" s="65" t="s">
        <v>62</v>
      </c>
      <c r="Y53" s="66">
        <v>0.25011369464092498</v>
      </c>
    </row>
    <row r="54" spans="1:25" x14ac:dyDescent="0.25">
      <c r="A54" s="122"/>
      <c r="B54" s="126" t="s">
        <v>40</v>
      </c>
      <c r="C54" s="127"/>
      <c r="D54" s="67" t="s">
        <v>103</v>
      </c>
      <c r="E54" s="68" t="s">
        <v>118</v>
      </c>
      <c r="F54" s="67" t="s">
        <v>99</v>
      </c>
      <c r="G54" s="68" t="s">
        <v>77</v>
      </c>
      <c r="H54" s="67" t="s">
        <v>236</v>
      </c>
      <c r="I54" s="68" t="s">
        <v>170</v>
      </c>
      <c r="J54" s="67" t="s">
        <v>171</v>
      </c>
      <c r="K54" s="68" t="s">
        <v>65</v>
      </c>
      <c r="L54" s="67" t="s">
        <v>172</v>
      </c>
      <c r="M54" s="68" t="s">
        <v>173</v>
      </c>
      <c r="N54" s="67" t="s">
        <v>91</v>
      </c>
      <c r="O54" s="68" t="s">
        <v>174</v>
      </c>
      <c r="P54" s="67" t="s">
        <v>145</v>
      </c>
      <c r="Q54" s="68" t="s">
        <v>175</v>
      </c>
      <c r="R54" s="67" t="s">
        <v>176</v>
      </c>
      <c r="S54" s="68" t="s">
        <v>177</v>
      </c>
      <c r="T54" s="67" t="s">
        <v>178</v>
      </c>
      <c r="U54" s="68" t="s">
        <v>121</v>
      </c>
      <c r="V54" s="67" t="s">
        <v>179</v>
      </c>
      <c r="W54" s="68" t="s">
        <v>71</v>
      </c>
      <c r="X54" s="67" t="s">
        <v>122</v>
      </c>
      <c r="Y54" s="68" t="s">
        <v>180</v>
      </c>
    </row>
    <row r="55" spans="1:25" x14ac:dyDescent="0.25">
      <c r="A55" s="122"/>
      <c r="B55" s="128" t="s">
        <v>36</v>
      </c>
      <c r="C55" s="129"/>
      <c r="D55" s="69" t="s">
        <v>61</v>
      </c>
      <c r="E55" s="70">
        <v>2.8712456505080843E-2</v>
      </c>
      <c r="F55" s="69" t="s">
        <v>62</v>
      </c>
      <c r="G55" s="70">
        <v>0.53790029955029683</v>
      </c>
      <c r="H55" s="69" t="s">
        <v>62</v>
      </c>
      <c r="I55" s="70">
        <v>0.2760052698252039</v>
      </c>
      <c r="J55" s="69" t="s">
        <v>62</v>
      </c>
      <c r="K55" s="70">
        <v>0.86618848551961203</v>
      </c>
      <c r="L55" s="69" t="s">
        <v>62</v>
      </c>
      <c r="M55" s="70">
        <v>0.86391741584180526</v>
      </c>
      <c r="N55" s="69" t="s">
        <v>62</v>
      </c>
      <c r="O55" s="70">
        <v>0.81841308865614559</v>
      </c>
      <c r="P55" s="69" t="s">
        <v>62</v>
      </c>
      <c r="Q55" s="70">
        <v>0.228218082427462</v>
      </c>
      <c r="R55" s="69" t="s">
        <v>62</v>
      </c>
      <c r="S55" s="70">
        <v>0.42918592574890069</v>
      </c>
      <c r="T55" s="69" t="s">
        <v>62</v>
      </c>
      <c r="U55" s="70">
        <v>0.21473222174699955</v>
      </c>
      <c r="V55" s="69" t="s">
        <v>62</v>
      </c>
      <c r="W55" s="70">
        <v>0.8250682509491416</v>
      </c>
      <c r="X55" s="69" t="s">
        <v>62</v>
      </c>
      <c r="Y55" s="70">
        <v>0.84003914768142018</v>
      </c>
    </row>
    <row r="56" spans="1:25" x14ac:dyDescent="0.25">
      <c r="A56" s="122"/>
      <c r="B56" s="126" t="s">
        <v>40</v>
      </c>
      <c r="C56" s="127"/>
      <c r="D56" s="67" t="s">
        <v>237</v>
      </c>
      <c r="E56" s="68" t="s">
        <v>87</v>
      </c>
      <c r="F56" s="67" t="s">
        <v>183</v>
      </c>
      <c r="G56" s="68" t="s">
        <v>184</v>
      </c>
      <c r="H56" s="67" t="s">
        <v>185</v>
      </c>
      <c r="I56" s="68" t="s">
        <v>186</v>
      </c>
      <c r="J56" s="67" t="s">
        <v>187</v>
      </c>
      <c r="K56" s="68" t="s">
        <v>188</v>
      </c>
      <c r="L56" s="67" t="s">
        <v>189</v>
      </c>
      <c r="M56" s="68" t="s">
        <v>190</v>
      </c>
      <c r="N56" s="67" t="s">
        <v>238</v>
      </c>
      <c r="O56" s="68" t="s">
        <v>239</v>
      </c>
      <c r="P56" s="67" t="s">
        <v>96</v>
      </c>
      <c r="Q56" s="68" t="s">
        <v>90</v>
      </c>
      <c r="R56" s="67" t="s">
        <v>222</v>
      </c>
      <c r="S56" s="68" t="s">
        <v>240</v>
      </c>
      <c r="T56" s="67" t="s">
        <v>224</v>
      </c>
      <c r="U56" s="68" t="s">
        <v>241</v>
      </c>
      <c r="V56" s="67" t="s">
        <v>242</v>
      </c>
      <c r="W56" s="68" t="s">
        <v>243</v>
      </c>
      <c r="X56" s="67" t="s">
        <v>244</v>
      </c>
      <c r="Y56" s="68" t="s">
        <v>245</v>
      </c>
    </row>
    <row r="57" spans="1:25" x14ac:dyDescent="0.25">
      <c r="A57" s="122"/>
      <c r="B57" s="130" t="s">
        <v>37</v>
      </c>
      <c r="C57" s="129"/>
      <c r="D57" s="60" t="s">
        <v>52</v>
      </c>
      <c r="E57" s="61">
        <v>0.81427113193616296</v>
      </c>
      <c r="F57" s="60" t="s">
        <v>52</v>
      </c>
      <c r="G57" s="61">
        <v>0.74325851377749419</v>
      </c>
      <c r="H57" s="60" t="s">
        <v>52</v>
      </c>
      <c r="I57" s="61">
        <v>0.80279010577259924</v>
      </c>
      <c r="J57" s="60" t="s">
        <v>52</v>
      </c>
      <c r="K57" s="61">
        <v>0.70602783996209439</v>
      </c>
      <c r="L57" s="60" t="s">
        <v>52</v>
      </c>
      <c r="M57" s="61">
        <v>0.87576284689675432</v>
      </c>
      <c r="N57" s="60" t="s">
        <v>52</v>
      </c>
      <c r="O57" s="61">
        <v>0.68522553289939647</v>
      </c>
      <c r="P57" s="60" t="s">
        <v>52</v>
      </c>
      <c r="Q57" s="61">
        <v>0.68653131416661395</v>
      </c>
      <c r="R57" s="60" t="s">
        <v>52</v>
      </c>
      <c r="S57" s="61">
        <v>0.61127958780867786</v>
      </c>
      <c r="T57" s="60" t="s">
        <v>52</v>
      </c>
      <c r="U57" s="61">
        <v>0.67569061965286803</v>
      </c>
      <c r="V57" s="60" t="s">
        <v>52</v>
      </c>
      <c r="W57" s="61">
        <v>0.67010559373968415</v>
      </c>
      <c r="X57" s="60" t="s">
        <v>52</v>
      </c>
      <c r="Y57" s="61">
        <v>0.84823627629512477</v>
      </c>
    </row>
    <row r="58" spans="1:25" x14ac:dyDescent="0.25">
      <c r="A58" s="122"/>
      <c r="B58" s="131"/>
      <c r="C58" s="132"/>
      <c r="D58" s="67" t="s">
        <v>225</v>
      </c>
      <c r="E58" s="68" t="s">
        <v>226</v>
      </c>
      <c r="F58" s="67" t="s">
        <v>246</v>
      </c>
      <c r="G58" s="68" t="s">
        <v>247</v>
      </c>
      <c r="H58" s="67" t="s">
        <v>248</v>
      </c>
      <c r="I58" s="68" t="s">
        <v>249</v>
      </c>
      <c r="J58" s="67" t="s">
        <v>250</v>
      </c>
      <c r="K58" s="68" t="s">
        <v>251</v>
      </c>
      <c r="L58" s="67" t="s">
        <v>126</v>
      </c>
      <c r="M58" s="68" t="s">
        <v>127</v>
      </c>
      <c r="N58" s="67" t="s">
        <v>93</v>
      </c>
      <c r="O58" s="68" t="s">
        <v>252</v>
      </c>
      <c r="P58" s="67" t="s">
        <v>84</v>
      </c>
      <c r="Q58" s="68" t="s">
        <v>253</v>
      </c>
      <c r="R58" s="67" t="s">
        <v>254</v>
      </c>
      <c r="S58" s="68" t="s">
        <v>255</v>
      </c>
      <c r="T58" s="67" t="s">
        <v>72</v>
      </c>
      <c r="U58" s="68" t="s">
        <v>256</v>
      </c>
      <c r="V58" s="67" t="s">
        <v>227</v>
      </c>
      <c r="W58" s="68" t="s">
        <v>257</v>
      </c>
      <c r="X58" s="67" t="s">
        <v>258</v>
      </c>
      <c r="Y58" s="68" t="s">
        <v>94</v>
      </c>
    </row>
    <row r="59" spans="1:25" x14ac:dyDescent="0.25">
      <c r="A59" s="122"/>
      <c r="B59" s="130" t="s">
        <v>38</v>
      </c>
      <c r="C59" s="129"/>
      <c r="D59" s="60" t="s">
        <v>52</v>
      </c>
      <c r="E59" s="61">
        <v>0.54456614066365872</v>
      </c>
      <c r="F59" s="60" t="s">
        <v>52</v>
      </c>
      <c r="G59" s="61">
        <v>0.43783298040101393</v>
      </c>
      <c r="H59" s="60" t="s">
        <v>52</v>
      </c>
      <c r="I59" s="61">
        <v>0.43916365148518699</v>
      </c>
      <c r="J59" s="60" t="s">
        <v>52</v>
      </c>
      <c r="K59" s="61">
        <v>0.53545961874747949</v>
      </c>
      <c r="L59" s="60" t="s">
        <v>52</v>
      </c>
      <c r="M59" s="61">
        <v>0.70675357630066182</v>
      </c>
      <c r="N59" s="60" t="s">
        <v>52</v>
      </c>
      <c r="O59" s="61">
        <v>0.47190521240767086</v>
      </c>
      <c r="P59" s="60" t="s">
        <v>52</v>
      </c>
      <c r="Q59" s="61">
        <v>0.37834123856228175</v>
      </c>
      <c r="R59" s="60" t="s">
        <v>52</v>
      </c>
      <c r="S59" s="61">
        <v>0.34510065333101181</v>
      </c>
      <c r="T59" s="60" t="s">
        <v>52</v>
      </c>
      <c r="U59" s="61">
        <v>0.38823825768834497</v>
      </c>
      <c r="V59" s="60" t="s">
        <v>52</v>
      </c>
      <c r="W59" s="61">
        <v>0.47987351082214968</v>
      </c>
      <c r="X59" s="60" t="s">
        <v>52</v>
      </c>
      <c r="Y59" s="61">
        <v>0.65876237962064299</v>
      </c>
    </row>
    <row r="60" spans="1:25" ht="15.75" thickBot="1" x14ac:dyDescent="0.3">
      <c r="A60" s="123"/>
      <c r="B60" s="133"/>
      <c r="C60" s="134"/>
      <c r="D60" s="71" t="s">
        <v>83</v>
      </c>
      <c r="E60" s="72" t="s">
        <v>259</v>
      </c>
      <c r="F60" s="71" t="s">
        <v>260</v>
      </c>
      <c r="G60" s="72" t="s">
        <v>261</v>
      </c>
      <c r="H60" s="71" t="s">
        <v>98</v>
      </c>
      <c r="I60" s="72" t="s">
        <v>262</v>
      </c>
      <c r="J60" s="71" t="s">
        <v>263</v>
      </c>
      <c r="K60" s="72" t="s">
        <v>264</v>
      </c>
      <c r="L60" s="71" t="s">
        <v>265</v>
      </c>
      <c r="M60" s="72" t="s">
        <v>266</v>
      </c>
      <c r="N60" s="71" t="s">
        <v>60</v>
      </c>
      <c r="O60" s="72" t="s">
        <v>267</v>
      </c>
      <c r="P60" s="71" t="s">
        <v>268</v>
      </c>
      <c r="Q60" s="72" t="s">
        <v>269</v>
      </c>
      <c r="R60" s="71" t="s">
        <v>270</v>
      </c>
      <c r="S60" s="72" t="s">
        <v>271</v>
      </c>
      <c r="T60" s="71" t="s">
        <v>78</v>
      </c>
      <c r="U60" s="72" t="s">
        <v>272</v>
      </c>
      <c r="V60" s="71" t="s">
        <v>55</v>
      </c>
      <c r="W60" s="72" t="s">
        <v>180</v>
      </c>
      <c r="X60" s="71" t="s">
        <v>273</v>
      </c>
      <c r="Y60" s="72" t="s">
        <v>274</v>
      </c>
    </row>
    <row r="61" spans="1:25" ht="15.75" thickTop="1" x14ac:dyDescent="0.25"/>
    <row r="95" ht="15.75" customHeight="1" x14ac:dyDescent="0.25"/>
    <row r="103" ht="15.75" customHeight="1" x14ac:dyDescent="0.25"/>
  </sheetData>
  <mergeCells count="257">
    <mergeCell ref="A53:A60"/>
    <mergeCell ref="B53:C53"/>
    <mergeCell ref="B54:C54"/>
    <mergeCell ref="B55:C55"/>
    <mergeCell ref="B56:C56"/>
    <mergeCell ref="B57:C58"/>
    <mergeCell ref="B59:C60"/>
    <mergeCell ref="X44:Y44"/>
    <mergeCell ref="A45:A52"/>
    <mergeCell ref="B45:C46"/>
    <mergeCell ref="B47:C48"/>
    <mergeCell ref="B49:C50"/>
    <mergeCell ref="B51:C52"/>
    <mergeCell ref="L44:M44"/>
    <mergeCell ref="N44:O44"/>
    <mergeCell ref="P44:Q44"/>
    <mergeCell ref="R44:S44"/>
    <mergeCell ref="T44:U44"/>
    <mergeCell ref="V44:W44"/>
    <mergeCell ref="A42:J42"/>
    <mergeCell ref="A44:C44"/>
    <mergeCell ref="D44:E44"/>
    <mergeCell ref="F44:G44"/>
    <mergeCell ref="H44:I44"/>
    <mergeCell ref="J44:K44"/>
    <mergeCell ref="N41:O41"/>
    <mergeCell ref="P41:Q41"/>
    <mergeCell ref="R41:S41"/>
    <mergeCell ref="T41:U41"/>
    <mergeCell ref="V41:W41"/>
    <mergeCell ref="X41:Y41"/>
    <mergeCell ref="A41:C41"/>
    <mergeCell ref="D41:E41"/>
    <mergeCell ref="F41:G41"/>
    <mergeCell ref="H41:I41"/>
    <mergeCell ref="J41:K41"/>
    <mergeCell ref="L41:M41"/>
    <mergeCell ref="N40:O40"/>
    <mergeCell ref="P40:Q40"/>
    <mergeCell ref="R40:S40"/>
    <mergeCell ref="T40:U40"/>
    <mergeCell ref="V40:W40"/>
    <mergeCell ref="X40:Y40"/>
    <mergeCell ref="A40:C40"/>
    <mergeCell ref="D40:E40"/>
    <mergeCell ref="F40:G40"/>
    <mergeCell ref="H40:I40"/>
    <mergeCell ref="J40:K40"/>
    <mergeCell ref="L40:M40"/>
    <mergeCell ref="A34:C34"/>
    <mergeCell ref="A35:C35"/>
    <mergeCell ref="A36:C36"/>
    <mergeCell ref="A37:C37"/>
    <mergeCell ref="A38:C38"/>
    <mergeCell ref="A39:C39"/>
    <mergeCell ref="D32:E32"/>
    <mergeCell ref="F32:G32"/>
    <mergeCell ref="H32:I32"/>
    <mergeCell ref="T32:U32"/>
    <mergeCell ref="V32:W32"/>
    <mergeCell ref="X32:Y32"/>
    <mergeCell ref="N31:O31"/>
    <mergeCell ref="P31:Q31"/>
    <mergeCell ref="R31:S31"/>
    <mergeCell ref="T31:U31"/>
    <mergeCell ref="V31:W31"/>
    <mergeCell ref="X31:Y31"/>
    <mergeCell ref="R30:S30"/>
    <mergeCell ref="T30:U30"/>
    <mergeCell ref="V30:W30"/>
    <mergeCell ref="X30:Y30"/>
    <mergeCell ref="A31:C31"/>
    <mergeCell ref="D31:E31"/>
    <mergeCell ref="F31:G31"/>
    <mergeCell ref="H31:I31"/>
    <mergeCell ref="J31:K31"/>
    <mergeCell ref="L31:M31"/>
    <mergeCell ref="V29:W29"/>
    <mergeCell ref="X29:Y29"/>
    <mergeCell ref="A30:C30"/>
    <mergeCell ref="D30:E30"/>
    <mergeCell ref="F30:G30"/>
    <mergeCell ref="H30:I30"/>
    <mergeCell ref="J30:K30"/>
    <mergeCell ref="L30:M30"/>
    <mergeCell ref="N30:O30"/>
    <mergeCell ref="P30:Q30"/>
    <mergeCell ref="A29:C29"/>
    <mergeCell ref="D29:E29"/>
    <mergeCell ref="F29:G29"/>
    <mergeCell ref="H29:I29"/>
    <mergeCell ref="R29:S29"/>
    <mergeCell ref="T29:U29"/>
    <mergeCell ref="N28:O28"/>
    <mergeCell ref="P28:Q28"/>
    <mergeCell ref="R28:S28"/>
    <mergeCell ref="T28:U28"/>
    <mergeCell ref="V28:W28"/>
    <mergeCell ref="X28:Y28"/>
    <mergeCell ref="A28:C28"/>
    <mergeCell ref="D28:E28"/>
    <mergeCell ref="F28:G28"/>
    <mergeCell ref="H28:I28"/>
    <mergeCell ref="J28:K28"/>
    <mergeCell ref="L28:M28"/>
    <mergeCell ref="T24:U24"/>
    <mergeCell ref="V24:W24"/>
    <mergeCell ref="X24:Y24"/>
    <mergeCell ref="A25:C25"/>
    <mergeCell ref="A26:C26"/>
    <mergeCell ref="A27:C27"/>
    <mergeCell ref="X23:Y23"/>
    <mergeCell ref="A24:C24"/>
    <mergeCell ref="D24:E24"/>
    <mergeCell ref="F24:G24"/>
    <mergeCell ref="H24:I24"/>
    <mergeCell ref="J24:K24"/>
    <mergeCell ref="L24:M24"/>
    <mergeCell ref="N24:O24"/>
    <mergeCell ref="P24:Q24"/>
    <mergeCell ref="R24:S24"/>
    <mergeCell ref="L23:M23"/>
    <mergeCell ref="N23:O23"/>
    <mergeCell ref="P23:Q23"/>
    <mergeCell ref="R23:S23"/>
    <mergeCell ref="T23:U23"/>
    <mergeCell ref="V23:W23"/>
    <mergeCell ref="T19:U19"/>
    <mergeCell ref="V19:W19"/>
    <mergeCell ref="X19:Y19"/>
    <mergeCell ref="A20:C20"/>
    <mergeCell ref="A21:J21"/>
    <mergeCell ref="A23:C23"/>
    <mergeCell ref="D23:E23"/>
    <mergeCell ref="F23:G23"/>
    <mergeCell ref="H23:I23"/>
    <mergeCell ref="J23:K23"/>
    <mergeCell ref="X18:Y18"/>
    <mergeCell ref="A19:C19"/>
    <mergeCell ref="D19:E19"/>
    <mergeCell ref="F19:G19"/>
    <mergeCell ref="H19:I19"/>
    <mergeCell ref="J19:K19"/>
    <mergeCell ref="L19:M19"/>
    <mergeCell ref="N19:O19"/>
    <mergeCell ref="P19:Q19"/>
    <mergeCell ref="R19:S19"/>
    <mergeCell ref="L18:M18"/>
    <mergeCell ref="N18:O18"/>
    <mergeCell ref="P18:Q18"/>
    <mergeCell ref="R18:S18"/>
    <mergeCell ref="T18:U18"/>
    <mergeCell ref="V18:W18"/>
    <mergeCell ref="P17:Q17"/>
    <mergeCell ref="R17:S17"/>
    <mergeCell ref="T17:U17"/>
    <mergeCell ref="V17:W17"/>
    <mergeCell ref="X17:Y17"/>
    <mergeCell ref="A18:C18"/>
    <mergeCell ref="D18:E18"/>
    <mergeCell ref="F18:G18"/>
    <mergeCell ref="H18:I18"/>
    <mergeCell ref="J18:K18"/>
    <mergeCell ref="D17:E17"/>
    <mergeCell ref="F17:G17"/>
    <mergeCell ref="H17:I17"/>
    <mergeCell ref="J17:K17"/>
    <mergeCell ref="L17:M17"/>
    <mergeCell ref="N17:O17"/>
    <mergeCell ref="N16:O16"/>
    <mergeCell ref="P16:Q16"/>
    <mergeCell ref="R16:S16"/>
    <mergeCell ref="T16:U16"/>
    <mergeCell ref="V16:W16"/>
    <mergeCell ref="X16:Y16"/>
    <mergeCell ref="A16:C16"/>
    <mergeCell ref="D16:E16"/>
    <mergeCell ref="F16:G16"/>
    <mergeCell ref="H16:I16"/>
    <mergeCell ref="J16:K16"/>
    <mergeCell ref="L16:M16"/>
    <mergeCell ref="N15:O15"/>
    <mergeCell ref="P15:Q15"/>
    <mergeCell ref="R15:S15"/>
    <mergeCell ref="T15:U15"/>
    <mergeCell ref="V15:W15"/>
    <mergeCell ref="X15:Y15"/>
    <mergeCell ref="A15:C15"/>
    <mergeCell ref="D15:E15"/>
    <mergeCell ref="F15:G15"/>
    <mergeCell ref="H15:I15"/>
    <mergeCell ref="J15:K15"/>
    <mergeCell ref="L15:M15"/>
    <mergeCell ref="N14:O14"/>
    <mergeCell ref="P14:Q14"/>
    <mergeCell ref="R14:S14"/>
    <mergeCell ref="T14:U14"/>
    <mergeCell ref="V14:W14"/>
    <mergeCell ref="X14:Y14"/>
    <mergeCell ref="T12:U12"/>
    <mergeCell ref="V12:W12"/>
    <mergeCell ref="X12:Y12"/>
    <mergeCell ref="A13:C13"/>
    <mergeCell ref="A14:C14"/>
    <mergeCell ref="D14:E14"/>
    <mergeCell ref="F14:G14"/>
    <mergeCell ref="H14:I14"/>
    <mergeCell ref="J14:K14"/>
    <mergeCell ref="L14:M14"/>
    <mergeCell ref="X11:Y11"/>
    <mergeCell ref="A12:C12"/>
    <mergeCell ref="D12:E12"/>
    <mergeCell ref="F12:G12"/>
    <mergeCell ref="H12:I12"/>
    <mergeCell ref="J12:K12"/>
    <mergeCell ref="L12:M12"/>
    <mergeCell ref="N12:O12"/>
    <mergeCell ref="P12:Q12"/>
    <mergeCell ref="R12:S12"/>
    <mergeCell ref="L11:M11"/>
    <mergeCell ref="N11:O11"/>
    <mergeCell ref="P11:Q11"/>
    <mergeCell ref="R11:S11"/>
    <mergeCell ref="T11:U11"/>
    <mergeCell ref="V11:W11"/>
    <mergeCell ref="T8:U8"/>
    <mergeCell ref="V8:W8"/>
    <mergeCell ref="X8:Y8"/>
    <mergeCell ref="A9:C9"/>
    <mergeCell ref="A10:C10"/>
    <mergeCell ref="A11:C11"/>
    <mergeCell ref="D11:E11"/>
    <mergeCell ref="F11:G11"/>
    <mergeCell ref="H11:I11"/>
    <mergeCell ref="J11:K11"/>
    <mergeCell ref="X7:Y7"/>
    <mergeCell ref="A8:C8"/>
    <mergeCell ref="D8:E8"/>
    <mergeCell ref="F8:G8"/>
    <mergeCell ref="H8:I8"/>
    <mergeCell ref="J8:K8"/>
    <mergeCell ref="L8:M8"/>
    <mergeCell ref="N8:O8"/>
    <mergeCell ref="P8:Q8"/>
    <mergeCell ref="R8:S8"/>
    <mergeCell ref="L7:M7"/>
    <mergeCell ref="N7:O7"/>
    <mergeCell ref="P7:Q7"/>
    <mergeCell ref="R7:S7"/>
    <mergeCell ref="T7:U7"/>
    <mergeCell ref="V7:W7"/>
    <mergeCell ref="B1:E1"/>
    <mergeCell ref="B2:E2"/>
    <mergeCell ref="D7:E7"/>
    <mergeCell ref="F7:G7"/>
    <mergeCell ref="H7:I7"/>
    <mergeCell ref="J7:K7"/>
  </mergeCells>
  <conditionalFormatting sqref="D7:W7">
    <cfRule type="containsText" dxfId="127" priority="24" operator="containsText" text="Pila">
      <formula>NOT(ISERROR(SEARCH("Pila",D7)))</formula>
    </cfRule>
    <cfRule type="containsText" dxfId="126" priority="25" operator="containsText" text="Spalla">
      <formula>NOT(ISERROR(SEARCH("Spalla",D7)))</formula>
    </cfRule>
  </conditionalFormatting>
  <conditionalFormatting sqref="D9:Y9">
    <cfRule type="cellIs" dxfId="125" priority="23" operator="equal">
      <formula>"B"</formula>
    </cfRule>
  </conditionalFormatting>
  <conditionalFormatting sqref="X7:Y7">
    <cfRule type="containsText" dxfId="124" priority="21" operator="containsText" text="Pila">
      <formula>NOT(ISERROR(SEARCH("Pila",X7)))</formula>
    </cfRule>
    <cfRule type="containsText" dxfId="123" priority="22" operator="containsText" text="Spalla">
      <formula>NOT(ISERROR(SEARCH("Spalla",X7)))</formula>
    </cfRule>
  </conditionalFormatting>
  <conditionalFormatting sqref="D7:E7">
    <cfRule type="containsText" dxfId="122" priority="19" operator="containsText" text="Pila">
      <formula>NOT(ISERROR(SEARCH("Pila",D7)))</formula>
    </cfRule>
    <cfRule type="containsText" dxfId="121" priority="20" operator="containsText" text="Spalla">
      <formula>NOT(ISERROR(SEARCH("Spalla",D7)))</formula>
    </cfRule>
  </conditionalFormatting>
  <conditionalFormatting sqref="A39:C39">
    <cfRule type="cellIs" dxfId="120" priority="18" operator="equal">
      <formula>"F"</formula>
    </cfRule>
  </conditionalFormatting>
  <conditionalFormatting sqref="A34:C38">
    <cfRule type="cellIs" dxfId="119" priority="17" operator="between">
      <formula>41</formula>
      <formula>81</formula>
    </cfRule>
  </conditionalFormatting>
  <conditionalFormatting sqref="A59 A57 A55:E55 A53:E53 A51:E51 A49:E49 A47:E47 A45:E45 D57:E57 D59:E59">
    <cfRule type="containsText" dxfId="118" priority="16" operator="containsText" text="err">
      <formula>NOT(ISERROR(SEARCH("err",A45)))</formula>
    </cfRule>
  </conditionalFormatting>
  <conditionalFormatting sqref="F51:W51 F49:W49 F47:W47">
    <cfRule type="containsText" dxfId="117" priority="15" operator="containsText" text="err">
      <formula>NOT(ISERROR(SEARCH("err",F47)))</formula>
    </cfRule>
  </conditionalFormatting>
  <conditionalFormatting sqref="H45 J45 L45 P45 R45 T45 V45 N45">
    <cfRule type="containsText" dxfId="116" priority="12" operator="containsText" text="err">
      <formula>NOT(ISERROR(SEARCH("err",H45)))</formula>
    </cfRule>
  </conditionalFormatting>
  <conditionalFormatting sqref="F45">
    <cfRule type="containsText" dxfId="115" priority="14" operator="containsText" text="err">
      <formula>NOT(ISERROR(SEARCH("err",F45)))</formula>
    </cfRule>
  </conditionalFormatting>
  <conditionalFormatting sqref="G45">
    <cfRule type="containsText" dxfId="114" priority="13" operator="containsText" text="err">
      <formula>NOT(ISERROR(SEARCH("err",G45)))</formula>
    </cfRule>
  </conditionalFormatting>
  <conditionalFormatting sqref="I45 K45 M45 O45 Q45 S45 U45 W45">
    <cfRule type="containsText" dxfId="113" priority="11" operator="containsText" text="err">
      <formula>NOT(ISERROR(SEARCH("err",I45)))</formula>
    </cfRule>
  </conditionalFormatting>
  <conditionalFormatting sqref="B59:C59 B57:C57">
    <cfRule type="containsText" dxfId="112" priority="10" operator="containsText" text="err">
      <formula>NOT(ISERROR(SEARCH("err",B57)))</formula>
    </cfRule>
  </conditionalFormatting>
  <conditionalFormatting sqref="J55:W55 J53:W53 J57:W57 J59:W59">
    <cfRule type="containsText" dxfId="111" priority="9" operator="containsText" text="err">
      <formula>NOT(ISERROR(SEARCH("err",J53)))</formula>
    </cfRule>
  </conditionalFormatting>
  <conditionalFormatting sqref="F55:I55 F53:I53 F57:I57 F59:I59">
    <cfRule type="containsText" dxfId="110" priority="8" operator="containsText" text="err">
      <formula>NOT(ISERROR(SEARCH("err",F53)))</formula>
    </cfRule>
  </conditionalFormatting>
  <conditionalFormatting sqref="X51:Y51 X49:Y49 X47:Y47">
    <cfRule type="containsText" dxfId="109" priority="7" operator="containsText" text="err">
      <formula>NOT(ISERROR(SEARCH("err",X47)))</formula>
    </cfRule>
  </conditionalFormatting>
  <conditionalFormatting sqref="X45">
    <cfRule type="containsText" dxfId="108" priority="6" operator="containsText" text="err">
      <formula>NOT(ISERROR(SEARCH("err",X45)))</formula>
    </cfRule>
  </conditionalFormatting>
  <conditionalFormatting sqref="Y45">
    <cfRule type="containsText" dxfId="107" priority="5" operator="containsText" text="err">
      <formula>NOT(ISERROR(SEARCH("err",Y45)))</formula>
    </cfRule>
  </conditionalFormatting>
  <conditionalFormatting sqref="X55:Y55 X53:Y53 X57:Y57 X59:Y59">
    <cfRule type="containsText" dxfId="106" priority="4" operator="containsText" text="err">
      <formula>NOT(ISERROR(SEARCH("err",X53)))</formula>
    </cfRule>
  </conditionalFormatting>
  <conditionalFormatting sqref="D39:E39">
    <cfRule type="cellIs" dxfId="105" priority="3" operator="equal">
      <formula>"F"</formula>
    </cfRule>
  </conditionalFormatting>
  <conditionalFormatting sqref="F39:Y39">
    <cfRule type="cellIs" dxfId="104" priority="2" operator="equal">
      <formula>"F"</formula>
    </cfRule>
  </conditionalFormatting>
  <conditionalFormatting sqref="D34:Y38">
    <cfRule type="cellIs" dxfId="103" priority="1" operator="between">
      <formula>41</formula>
      <formula>81</formula>
    </cfRule>
  </conditionalFormatting>
  <pageMargins left="0.7" right="0.7" top="0.75" bottom="0.75" header="0.3" footer="0.3"/>
  <pageSetup paperSize="8" scale="74"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F022E-840D-49A1-BDF9-6D5D22994BD2}">
  <sheetPr>
    <pageSetUpPr fitToPage="1"/>
  </sheetPr>
  <dimension ref="A1:Y103"/>
  <sheetViews>
    <sheetView tabSelected="1" topLeftCell="A25" zoomScale="85" zoomScaleNormal="85" workbookViewId="0">
      <selection activeCell="N62" sqref="N62"/>
    </sheetView>
  </sheetViews>
  <sheetFormatPr defaultRowHeight="15" x14ac:dyDescent="0.25"/>
  <cols>
    <col min="1" max="1" width="30.42578125" customWidth="1"/>
    <col min="2" max="2" width="16.42578125" bestFit="1" customWidth="1"/>
  </cols>
  <sheetData>
    <row r="1" spans="1:25" x14ac:dyDescent="0.25">
      <c r="A1" s="85" t="s">
        <v>104</v>
      </c>
      <c r="B1" s="163" t="s">
        <v>105</v>
      </c>
      <c r="C1" s="163"/>
      <c r="D1" s="163"/>
      <c r="E1" s="164"/>
    </row>
    <row r="2" spans="1:25" ht="15.75" thickBot="1" x14ac:dyDescent="0.3">
      <c r="A2" s="86" t="s">
        <v>106</v>
      </c>
      <c r="B2" s="165" t="s">
        <v>107</v>
      </c>
      <c r="C2" s="165"/>
      <c r="D2" s="165"/>
      <c r="E2" s="166"/>
    </row>
    <row r="3" spans="1:25" x14ac:dyDescent="0.25">
      <c r="A3" s="73" t="s">
        <v>108</v>
      </c>
      <c r="B3" s="74">
        <v>45128</v>
      </c>
      <c r="C3" s="75"/>
      <c r="D3" s="75"/>
      <c r="E3" s="76"/>
    </row>
    <row r="4" spans="1:25" x14ac:dyDescent="0.25">
      <c r="A4" s="77" t="s">
        <v>109</v>
      </c>
      <c r="B4" s="78" t="s">
        <v>228</v>
      </c>
      <c r="C4" s="79"/>
      <c r="D4" s="79"/>
      <c r="E4" s="80"/>
    </row>
    <row r="5" spans="1:25" ht="15.75" thickBot="1" x14ac:dyDescent="0.3">
      <c r="A5" s="81" t="s">
        <v>110</v>
      </c>
      <c r="B5" s="82" t="s">
        <v>130</v>
      </c>
      <c r="C5" s="83"/>
      <c r="D5" s="83"/>
      <c r="E5" s="84"/>
    </row>
    <row r="7" spans="1:25" ht="15.75" thickBot="1" x14ac:dyDescent="0.3">
      <c r="A7" s="1"/>
      <c r="B7" s="1"/>
      <c r="C7" s="2"/>
      <c r="D7" s="87" t="s">
        <v>29</v>
      </c>
      <c r="E7" s="87"/>
      <c r="F7" s="87" t="s">
        <v>41</v>
      </c>
      <c r="G7" s="87"/>
      <c r="H7" s="87" t="s">
        <v>41</v>
      </c>
      <c r="I7" s="87"/>
      <c r="J7" s="87" t="s">
        <v>41</v>
      </c>
      <c r="K7" s="87"/>
      <c r="L7" s="87" t="s">
        <v>30</v>
      </c>
      <c r="M7" s="87"/>
      <c r="N7" s="87" t="s">
        <v>41</v>
      </c>
      <c r="O7" s="87"/>
      <c r="P7" s="87" t="s">
        <v>41</v>
      </c>
      <c r="Q7" s="87"/>
      <c r="R7" s="87" t="s">
        <v>41</v>
      </c>
      <c r="S7" s="87"/>
      <c r="T7" s="87" t="s">
        <v>41</v>
      </c>
      <c r="U7" s="87"/>
      <c r="V7" s="87" t="s">
        <v>41</v>
      </c>
      <c r="W7" s="87"/>
      <c r="X7" s="87" t="s">
        <v>30</v>
      </c>
      <c r="Y7" s="87"/>
    </row>
    <row r="8" spans="1:25" ht="15.75" thickBot="1" x14ac:dyDescent="0.3">
      <c r="A8" s="104" t="s">
        <v>0</v>
      </c>
      <c r="B8" s="105"/>
      <c r="C8" s="106"/>
      <c r="D8" s="90">
        <v>1</v>
      </c>
      <c r="E8" s="91"/>
      <c r="F8" s="102">
        <v>2</v>
      </c>
      <c r="G8" s="103"/>
      <c r="H8" s="102">
        <v>3</v>
      </c>
      <c r="I8" s="103"/>
      <c r="J8" s="100">
        <v>4</v>
      </c>
      <c r="K8" s="101"/>
      <c r="L8" s="90">
        <v>5</v>
      </c>
      <c r="M8" s="91"/>
      <c r="N8" s="100">
        <v>6</v>
      </c>
      <c r="O8" s="101"/>
      <c r="P8" s="102">
        <v>7</v>
      </c>
      <c r="Q8" s="103"/>
      <c r="R8" s="102">
        <v>8</v>
      </c>
      <c r="S8" s="103"/>
      <c r="T8" s="102">
        <v>9</v>
      </c>
      <c r="U8" s="103"/>
      <c r="V8" s="100">
        <v>10</v>
      </c>
      <c r="W8" s="101"/>
      <c r="X8" s="90">
        <v>11</v>
      </c>
      <c r="Y8" s="91"/>
    </row>
    <row r="9" spans="1:25" ht="16.5" thickTop="1" thickBot="1" x14ac:dyDescent="0.3">
      <c r="A9" s="92" t="s">
        <v>1</v>
      </c>
      <c r="B9" s="93"/>
      <c r="C9" s="94"/>
      <c r="D9" s="3" t="s">
        <v>2</v>
      </c>
      <c r="E9" s="3" t="s">
        <v>2</v>
      </c>
      <c r="F9" s="3" t="s">
        <v>2</v>
      </c>
      <c r="G9" s="3" t="s">
        <v>2</v>
      </c>
      <c r="H9" s="3" t="s">
        <v>2</v>
      </c>
      <c r="I9" s="3" t="s">
        <v>2</v>
      </c>
      <c r="J9" s="3" t="s">
        <v>2</v>
      </c>
      <c r="K9" s="3" t="s">
        <v>2</v>
      </c>
      <c r="L9" s="3" t="s">
        <v>2</v>
      </c>
      <c r="M9" s="3" t="s">
        <v>2</v>
      </c>
      <c r="N9" s="3" t="s">
        <v>2</v>
      </c>
      <c r="O9" s="3" t="s">
        <v>2</v>
      </c>
      <c r="P9" s="3" t="s">
        <v>2</v>
      </c>
      <c r="Q9" s="3" t="s">
        <v>2</v>
      </c>
      <c r="R9" s="3" t="s">
        <v>2</v>
      </c>
      <c r="S9" s="3" t="s">
        <v>2</v>
      </c>
      <c r="T9" s="3" t="s">
        <v>2</v>
      </c>
      <c r="U9" s="3" t="s">
        <v>2</v>
      </c>
      <c r="V9" s="3" t="s">
        <v>2</v>
      </c>
      <c r="W9" s="3" t="s">
        <v>2</v>
      </c>
      <c r="X9" s="3" t="s">
        <v>2</v>
      </c>
      <c r="Y9" s="3" t="s">
        <v>2</v>
      </c>
    </row>
    <row r="10" spans="1:25" ht="15.75" thickTop="1" x14ac:dyDescent="0.25">
      <c r="A10" s="95" t="s">
        <v>3</v>
      </c>
      <c r="B10" s="96"/>
      <c r="C10" s="97"/>
      <c r="D10" s="7">
        <v>5</v>
      </c>
      <c r="E10" s="7">
        <v>26</v>
      </c>
      <c r="F10" s="7">
        <v>5</v>
      </c>
      <c r="G10" s="7">
        <v>20</v>
      </c>
      <c r="H10" s="7">
        <v>5</v>
      </c>
      <c r="I10" s="7">
        <v>20</v>
      </c>
      <c r="J10" s="7">
        <v>10</v>
      </c>
      <c r="K10" s="7">
        <v>26</v>
      </c>
      <c r="L10" s="7">
        <v>10</v>
      </c>
      <c r="M10" s="7">
        <v>26</v>
      </c>
      <c r="N10" s="7">
        <v>10</v>
      </c>
      <c r="O10" s="7">
        <v>26</v>
      </c>
      <c r="P10" s="7">
        <v>10</v>
      </c>
      <c r="Q10" s="7">
        <v>22</v>
      </c>
      <c r="R10" s="7">
        <v>10</v>
      </c>
      <c r="S10" s="7">
        <v>16</v>
      </c>
      <c r="T10" s="7">
        <v>10</v>
      </c>
      <c r="U10" s="7">
        <v>22</v>
      </c>
      <c r="V10" s="7">
        <v>10</v>
      </c>
      <c r="W10" s="7">
        <v>26</v>
      </c>
      <c r="X10" s="7">
        <v>10</v>
      </c>
      <c r="Y10" s="7">
        <v>26</v>
      </c>
    </row>
    <row r="11" spans="1:25" ht="16.5" customHeight="1" x14ac:dyDescent="0.25">
      <c r="A11" s="95" t="s">
        <v>42</v>
      </c>
      <c r="B11" s="96"/>
      <c r="C11" s="97"/>
      <c r="D11" s="179">
        <v>2654.6457922833752</v>
      </c>
      <c r="E11" s="180"/>
      <c r="F11" s="179">
        <v>1570.7963267948965</v>
      </c>
      <c r="G11" s="180"/>
      <c r="H11" s="179">
        <v>1570.7963267948965</v>
      </c>
      <c r="I11" s="180"/>
      <c r="J11" s="179">
        <v>5309.2915845667503</v>
      </c>
      <c r="K11" s="180"/>
      <c r="L11" s="179">
        <v>5309.2915845667503</v>
      </c>
      <c r="M11" s="180"/>
      <c r="N11" s="179">
        <v>5309.2915845667503</v>
      </c>
      <c r="O11" s="180"/>
      <c r="P11" s="179">
        <v>3801.3271108436497</v>
      </c>
      <c r="Q11" s="180"/>
      <c r="R11" s="179">
        <v>2010.6192982974676</v>
      </c>
      <c r="S11" s="180"/>
      <c r="T11" s="179">
        <v>3801.3271108436497</v>
      </c>
      <c r="U11" s="180"/>
      <c r="V11" s="179">
        <v>5309.2915845667503</v>
      </c>
      <c r="W11" s="180"/>
      <c r="X11" s="179">
        <v>5309.2915845667503</v>
      </c>
      <c r="Y11" s="180"/>
    </row>
    <row r="12" spans="1:25" ht="16.5" customHeight="1" thickBot="1" x14ac:dyDescent="0.3">
      <c r="A12" s="95" t="s">
        <v>43</v>
      </c>
      <c r="B12" s="96"/>
      <c r="C12" s="97"/>
      <c r="D12" s="177">
        <v>50</v>
      </c>
      <c r="E12" s="178"/>
      <c r="F12" s="177">
        <v>50</v>
      </c>
      <c r="G12" s="178"/>
      <c r="H12" s="177">
        <v>50</v>
      </c>
      <c r="I12" s="178"/>
      <c r="J12" s="177">
        <v>50</v>
      </c>
      <c r="K12" s="178"/>
      <c r="L12" s="177">
        <v>50</v>
      </c>
      <c r="M12" s="178"/>
      <c r="N12" s="177">
        <v>50</v>
      </c>
      <c r="O12" s="178"/>
      <c r="P12" s="177">
        <v>50</v>
      </c>
      <c r="Q12" s="178"/>
      <c r="R12" s="177">
        <v>50</v>
      </c>
      <c r="S12" s="178"/>
      <c r="T12" s="177">
        <v>50</v>
      </c>
      <c r="U12" s="178"/>
      <c r="V12" s="177">
        <v>50</v>
      </c>
      <c r="W12" s="178"/>
      <c r="X12" s="177">
        <v>50</v>
      </c>
      <c r="Y12" s="178"/>
    </row>
    <row r="13" spans="1:25" ht="16.5" customHeight="1" thickTop="1" x14ac:dyDescent="0.25">
      <c r="A13" s="95" t="s">
        <v>4</v>
      </c>
      <c r="B13" s="96"/>
      <c r="C13" s="97"/>
      <c r="D13" s="7"/>
      <c r="E13" s="7"/>
      <c r="F13" s="7"/>
      <c r="G13" s="7"/>
      <c r="H13" s="7"/>
      <c r="I13" s="7"/>
      <c r="J13" s="7">
        <v>10</v>
      </c>
      <c r="K13" s="7">
        <v>26</v>
      </c>
      <c r="L13" s="7">
        <v>10</v>
      </c>
      <c r="M13" s="7">
        <v>26</v>
      </c>
      <c r="N13" s="7">
        <v>10</v>
      </c>
      <c r="O13" s="7">
        <v>26</v>
      </c>
      <c r="P13" s="7"/>
      <c r="Q13" s="7"/>
      <c r="R13" s="7"/>
      <c r="S13" s="7"/>
      <c r="T13" s="7"/>
      <c r="U13" s="7"/>
      <c r="V13" s="7">
        <v>10</v>
      </c>
      <c r="W13" s="7">
        <v>26</v>
      </c>
      <c r="X13" s="7">
        <v>10</v>
      </c>
      <c r="Y13" s="7">
        <v>26</v>
      </c>
    </row>
    <row r="14" spans="1:25" ht="16.5" customHeight="1" x14ac:dyDescent="0.25">
      <c r="A14" s="95" t="s">
        <v>44</v>
      </c>
      <c r="B14" s="96"/>
      <c r="C14" s="97"/>
      <c r="D14" s="179">
        <v>0</v>
      </c>
      <c r="E14" s="180"/>
      <c r="F14" s="179">
        <v>0</v>
      </c>
      <c r="G14" s="180"/>
      <c r="H14" s="179">
        <v>0</v>
      </c>
      <c r="I14" s="180"/>
      <c r="J14" s="179">
        <v>5309.2915845667503</v>
      </c>
      <c r="K14" s="180"/>
      <c r="L14" s="179">
        <v>5309.2915845667503</v>
      </c>
      <c r="M14" s="180"/>
      <c r="N14" s="179">
        <v>5309.2915845667503</v>
      </c>
      <c r="O14" s="180"/>
      <c r="P14" s="179">
        <v>0</v>
      </c>
      <c r="Q14" s="180"/>
      <c r="R14" s="179">
        <v>0</v>
      </c>
      <c r="S14" s="180"/>
      <c r="T14" s="179">
        <v>0</v>
      </c>
      <c r="U14" s="180"/>
      <c r="V14" s="179">
        <v>5309.2915845667503</v>
      </c>
      <c r="W14" s="180"/>
      <c r="X14" s="179">
        <v>5309.2915845667503</v>
      </c>
      <c r="Y14" s="180"/>
    </row>
    <row r="15" spans="1:25" ht="16.5" customHeight="1" thickBot="1" x14ac:dyDescent="0.3">
      <c r="A15" s="95" t="s">
        <v>5</v>
      </c>
      <c r="B15" s="96"/>
      <c r="C15" s="97"/>
      <c r="D15" s="177">
        <v>289</v>
      </c>
      <c r="E15" s="178"/>
      <c r="F15" s="177">
        <v>289</v>
      </c>
      <c r="G15" s="178"/>
      <c r="H15" s="177">
        <v>289</v>
      </c>
      <c r="I15" s="178"/>
      <c r="J15" s="177">
        <v>270</v>
      </c>
      <c r="K15" s="178"/>
      <c r="L15" s="177">
        <v>270</v>
      </c>
      <c r="M15" s="178"/>
      <c r="N15" s="177">
        <v>270</v>
      </c>
      <c r="O15" s="178"/>
      <c r="P15" s="177">
        <v>289</v>
      </c>
      <c r="Q15" s="178"/>
      <c r="R15" s="177">
        <v>289</v>
      </c>
      <c r="S15" s="178"/>
      <c r="T15" s="177">
        <v>289</v>
      </c>
      <c r="U15" s="178"/>
      <c r="V15" s="177">
        <v>270</v>
      </c>
      <c r="W15" s="178"/>
      <c r="X15" s="177">
        <v>270</v>
      </c>
      <c r="Y15" s="178"/>
    </row>
    <row r="16" spans="1:25" ht="16.5" customHeight="1" thickTop="1" x14ac:dyDescent="0.25">
      <c r="A16" s="95" t="s">
        <v>45</v>
      </c>
      <c r="B16" s="96"/>
      <c r="C16" s="97"/>
      <c r="D16" s="175">
        <v>0</v>
      </c>
      <c r="E16" s="176"/>
      <c r="F16" s="175">
        <v>0</v>
      </c>
      <c r="G16" s="176"/>
      <c r="H16" s="175">
        <v>0</v>
      </c>
      <c r="I16" s="176"/>
      <c r="J16" s="175">
        <v>0</v>
      </c>
      <c r="K16" s="176"/>
      <c r="L16" s="175">
        <v>0</v>
      </c>
      <c r="M16" s="176"/>
      <c r="N16" s="175">
        <v>0</v>
      </c>
      <c r="O16" s="176"/>
      <c r="P16" s="175">
        <v>0</v>
      </c>
      <c r="Q16" s="176"/>
      <c r="R16" s="175">
        <v>0</v>
      </c>
      <c r="S16" s="176"/>
      <c r="T16" s="175">
        <v>0</v>
      </c>
      <c r="U16" s="176"/>
      <c r="V16" s="175">
        <v>0</v>
      </c>
      <c r="W16" s="176"/>
      <c r="X16" s="175">
        <v>0</v>
      </c>
      <c r="Y16" s="176"/>
    </row>
    <row r="17" spans="1:25" ht="16.5" customHeight="1" x14ac:dyDescent="0.25">
      <c r="A17" s="4"/>
      <c r="B17" s="5"/>
      <c r="C17" s="6" t="s">
        <v>6</v>
      </c>
      <c r="D17" s="142">
        <v>0</v>
      </c>
      <c r="E17" s="143"/>
      <c r="F17" s="142">
        <v>0</v>
      </c>
      <c r="G17" s="143"/>
      <c r="H17" s="142">
        <v>0</v>
      </c>
      <c r="I17" s="143"/>
      <c r="J17" s="142">
        <v>0</v>
      </c>
      <c r="K17" s="143"/>
      <c r="L17" s="142">
        <v>0</v>
      </c>
      <c r="M17" s="143"/>
      <c r="N17" s="142">
        <v>0</v>
      </c>
      <c r="O17" s="143"/>
      <c r="P17" s="142">
        <v>0</v>
      </c>
      <c r="Q17" s="143"/>
      <c r="R17" s="142">
        <v>0</v>
      </c>
      <c r="S17" s="143"/>
      <c r="T17" s="142">
        <v>0</v>
      </c>
      <c r="U17" s="143"/>
      <c r="V17" s="142">
        <v>0</v>
      </c>
      <c r="W17" s="143"/>
      <c r="X17" s="142">
        <v>0</v>
      </c>
      <c r="Y17" s="143"/>
    </row>
    <row r="18" spans="1:25" ht="16.5" customHeight="1" x14ac:dyDescent="0.25">
      <c r="A18" s="95" t="s">
        <v>7</v>
      </c>
      <c r="B18" s="96"/>
      <c r="C18" s="97"/>
      <c r="D18" s="142">
        <v>14300</v>
      </c>
      <c r="E18" s="143"/>
      <c r="F18" s="142">
        <v>14300</v>
      </c>
      <c r="G18" s="143"/>
      <c r="H18" s="142">
        <v>14300</v>
      </c>
      <c r="I18" s="143"/>
      <c r="J18" s="142">
        <v>14300</v>
      </c>
      <c r="K18" s="143"/>
      <c r="L18" s="142">
        <v>14300</v>
      </c>
      <c r="M18" s="143"/>
      <c r="N18" s="142">
        <v>14300</v>
      </c>
      <c r="O18" s="143"/>
      <c r="P18" s="142">
        <v>14300</v>
      </c>
      <c r="Q18" s="143"/>
      <c r="R18" s="142">
        <v>14300</v>
      </c>
      <c r="S18" s="143"/>
      <c r="T18" s="142">
        <v>14300</v>
      </c>
      <c r="U18" s="143"/>
      <c r="V18" s="142">
        <v>14300</v>
      </c>
      <c r="W18" s="143"/>
      <c r="X18" s="142">
        <v>14300</v>
      </c>
      <c r="Y18" s="143"/>
    </row>
    <row r="19" spans="1:25" ht="16.5" customHeight="1" x14ac:dyDescent="0.25">
      <c r="A19" s="95" t="s">
        <v>8</v>
      </c>
      <c r="B19" s="96"/>
      <c r="C19" s="97"/>
      <c r="D19" s="142">
        <v>2650</v>
      </c>
      <c r="E19" s="143"/>
      <c r="F19" s="142">
        <v>2650</v>
      </c>
      <c r="G19" s="143"/>
      <c r="H19" s="142">
        <v>2650</v>
      </c>
      <c r="I19" s="143"/>
      <c r="J19" s="142">
        <v>2650</v>
      </c>
      <c r="K19" s="143"/>
      <c r="L19" s="142">
        <v>2650</v>
      </c>
      <c r="M19" s="143"/>
      <c r="N19" s="142">
        <v>2650</v>
      </c>
      <c r="O19" s="143"/>
      <c r="P19" s="142">
        <v>2650</v>
      </c>
      <c r="Q19" s="143"/>
      <c r="R19" s="142">
        <v>2650</v>
      </c>
      <c r="S19" s="143"/>
      <c r="T19" s="142">
        <v>2650</v>
      </c>
      <c r="U19" s="143"/>
      <c r="V19" s="142">
        <v>2650</v>
      </c>
      <c r="W19" s="143"/>
      <c r="X19" s="142">
        <v>2650</v>
      </c>
      <c r="Y19" s="143"/>
    </row>
    <row r="20" spans="1:25" ht="16.5" customHeight="1" thickBot="1" x14ac:dyDescent="0.3">
      <c r="A20" s="144" t="s">
        <v>9</v>
      </c>
      <c r="B20" s="145"/>
      <c r="C20" s="146"/>
      <c r="D20" s="9">
        <v>0</v>
      </c>
      <c r="E20" s="10">
        <v>0</v>
      </c>
      <c r="F20" s="9">
        <v>0</v>
      </c>
      <c r="G20" s="10">
        <v>0</v>
      </c>
      <c r="H20" s="9">
        <v>0</v>
      </c>
      <c r="I20" s="10">
        <v>0</v>
      </c>
      <c r="J20" s="9">
        <v>0</v>
      </c>
      <c r="K20" s="10">
        <v>0</v>
      </c>
      <c r="L20" s="9">
        <v>0</v>
      </c>
      <c r="M20" s="10">
        <v>0</v>
      </c>
      <c r="N20" s="9">
        <v>0</v>
      </c>
      <c r="O20" s="10">
        <v>0</v>
      </c>
      <c r="P20" s="9">
        <v>0</v>
      </c>
      <c r="Q20" s="10">
        <v>0</v>
      </c>
      <c r="R20" s="9">
        <v>0</v>
      </c>
      <c r="S20" s="10">
        <v>0</v>
      </c>
      <c r="T20" s="9">
        <v>0</v>
      </c>
      <c r="U20" s="10">
        <v>0</v>
      </c>
      <c r="V20" s="9">
        <v>0</v>
      </c>
      <c r="W20" s="10">
        <v>0</v>
      </c>
      <c r="X20" s="9">
        <v>0</v>
      </c>
      <c r="Y20" s="10">
        <v>0</v>
      </c>
    </row>
    <row r="21" spans="1:25" ht="18.75" thickBot="1" x14ac:dyDescent="0.3">
      <c r="A21" s="136" t="s">
        <v>10</v>
      </c>
      <c r="B21" s="137"/>
      <c r="C21" s="137"/>
      <c r="D21" s="137"/>
      <c r="E21" s="137"/>
      <c r="F21" s="137"/>
      <c r="G21" s="137"/>
      <c r="H21" s="137"/>
      <c r="I21" s="137"/>
      <c r="J21" s="138"/>
      <c r="K21" s="11"/>
      <c r="L21" s="12"/>
      <c r="M21" s="12"/>
      <c r="N21" s="11"/>
      <c r="O21" s="11"/>
      <c r="P21" s="11"/>
      <c r="Q21" s="11"/>
      <c r="R21" s="11"/>
      <c r="S21" s="11"/>
      <c r="T21" s="11"/>
      <c r="U21" s="11"/>
      <c r="V21" s="11"/>
      <c r="W21" s="11"/>
      <c r="X21" s="12"/>
      <c r="Y21" s="11"/>
    </row>
    <row r="22" spans="1:25" ht="16.5" customHeight="1" thickBot="1" x14ac:dyDescent="0.3">
      <c r="A22" s="13"/>
      <c r="B22" s="14"/>
      <c r="C22" s="8" t="s">
        <v>11</v>
      </c>
      <c r="D22" s="15">
        <v>184</v>
      </c>
      <c r="E22" s="16">
        <v>106.8</v>
      </c>
      <c r="F22" s="15">
        <v>184</v>
      </c>
      <c r="G22" s="16">
        <v>131.625</v>
      </c>
      <c r="H22" s="15">
        <v>184</v>
      </c>
      <c r="I22" s="16">
        <v>105.3</v>
      </c>
      <c r="J22" s="15">
        <v>184</v>
      </c>
      <c r="K22" s="16">
        <v>87.5</v>
      </c>
      <c r="L22" s="15">
        <v>184</v>
      </c>
      <c r="M22" s="16">
        <v>85</v>
      </c>
      <c r="N22" s="17">
        <v>230</v>
      </c>
      <c r="O22" s="18">
        <v>86.666666666666671</v>
      </c>
      <c r="P22" s="17">
        <v>230</v>
      </c>
      <c r="Q22" s="18">
        <v>105.3</v>
      </c>
      <c r="R22" s="17">
        <v>230</v>
      </c>
      <c r="S22" s="18">
        <v>131.625</v>
      </c>
      <c r="T22" s="17">
        <v>230</v>
      </c>
      <c r="U22" s="18">
        <v>105.6</v>
      </c>
      <c r="V22" s="17">
        <v>230</v>
      </c>
      <c r="W22" s="18">
        <v>87.5</v>
      </c>
      <c r="X22" s="15">
        <v>230</v>
      </c>
      <c r="Y22" s="16">
        <v>85</v>
      </c>
    </row>
    <row r="23" spans="1:25" ht="15.75" thickBot="1" x14ac:dyDescent="0.3">
      <c r="A23" s="104" t="s">
        <v>0</v>
      </c>
      <c r="B23" s="105"/>
      <c r="C23" s="106"/>
      <c r="D23" s="90">
        <v>1</v>
      </c>
      <c r="E23" s="91"/>
      <c r="F23" s="102">
        <v>2</v>
      </c>
      <c r="G23" s="103"/>
      <c r="H23" s="102">
        <v>3</v>
      </c>
      <c r="I23" s="103"/>
      <c r="J23" s="100">
        <v>4</v>
      </c>
      <c r="K23" s="101"/>
      <c r="L23" s="90">
        <v>5</v>
      </c>
      <c r="M23" s="91"/>
      <c r="N23" s="100">
        <v>6</v>
      </c>
      <c r="O23" s="101"/>
      <c r="P23" s="102">
        <v>7</v>
      </c>
      <c r="Q23" s="103"/>
      <c r="R23" s="102">
        <v>8</v>
      </c>
      <c r="S23" s="103"/>
      <c r="T23" s="102">
        <v>9</v>
      </c>
      <c r="U23" s="103"/>
      <c r="V23" s="100">
        <v>10</v>
      </c>
      <c r="W23" s="101"/>
      <c r="X23" s="90">
        <v>11</v>
      </c>
      <c r="Y23" s="91"/>
    </row>
    <row r="24" spans="1:25" ht="16.5" customHeight="1" thickTop="1" thickBot="1" x14ac:dyDescent="0.3">
      <c r="A24" s="147" t="s">
        <v>12</v>
      </c>
      <c r="B24" s="148"/>
      <c r="C24" s="148"/>
      <c r="D24" s="173">
        <v>38500</v>
      </c>
      <c r="E24" s="174"/>
      <c r="F24" s="173">
        <v>38500</v>
      </c>
      <c r="G24" s="174"/>
      <c r="H24" s="171">
        <v>38500</v>
      </c>
      <c r="I24" s="172"/>
      <c r="J24" s="171">
        <v>38500</v>
      </c>
      <c r="K24" s="172"/>
      <c r="L24" s="171">
        <v>38500</v>
      </c>
      <c r="M24" s="172"/>
      <c r="N24" s="171">
        <v>50000</v>
      </c>
      <c r="O24" s="172"/>
      <c r="P24" s="171">
        <v>50000</v>
      </c>
      <c r="Q24" s="172"/>
      <c r="R24" s="171">
        <v>50000</v>
      </c>
      <c r="S24" s="172"/>
      <c r="T24" s="171">
        <v>50000</v>
      </c>
      <c r="U24" s="172"/>
      <c r="V24" s="171">
        <v>50000</v>
      </c>
      <c r="W24" s="172"/>
      <c r="X24" s="171">
        <v>50000</v>
      </c>
      <c r="Y24" s="172"/>
    </row>
    <row r="25" spans="1:25" ht="15.75" thickTop="1" x14ac:dyDescent="0.25">
      <c r="A25" s="116" t="s">
        <v>13</v>
      </c>
      <c r="B25" s="117"/>
      <c r="C25" s="117"/>
      <c r="D25" s="19">
        <v>9000</v>
      </c>
      <c r="E25" s="19">
        <v>9000</v>
      </c>
      <c r="F25" s="19">
        <v>9000</v>
      </c>
      <c r="G25" s="19">
        <v>9000</v>
      </c>
      <c r="H25" s="19">
        <v>9000</v>
      </c>
      <c r="I25" s="19">
        <v>9000</v>
      </c>
      <c r="J25" s="19">
        <v>9000</v>
      </c>
      <c r="K25" s="19">
        <v>9000</v>
      </c>
      <c r="L25" s="19">
        <v>9000</v>
      </c>
      <c r="M25" s="19">
        <v>9000</v>
      </c>
      <c r="N25" s="19">
        <v>9000</v>
      </c>
      <c r="O25" s="19">
        <v>9000</v>
      </c>
      <c r="P25" s="19">
        <v>9000</v>
      </c>
      <c r="Q25" s="19">
        <v>9000</v>
      </c>
      <c r="R25" s="19">
        <v>9000</v>
      </c>
      <c r="S25" s="19">
        <v>9000</v>
      </c>
      <c r="T25" s="19">
        <v>9000</v>
      </c>
      <c r="U25" s="19">
        <v>9000</v>
      </c>
      <c r="V25" s="19">
        <v>9000</v>
      </c>
      <c r="W25" s="19">
        <v>9000</v>
      </c>
      <c r="X25" s="19">
        <v>9000</v>
      </c>
      <c r="Y25" s="19">
        <v>9000</v>
      </c>
    </row>
    <row r="26" spans="1:25" ht="16.5" customHeight="1" x14ac:dyDescent="0.25">
      <c r="A26" s="149" t="s">
        <v>14</v>
      </c>
      <c r="B26" s="150"/>
      <c r="C26" s="150"/>
      <c r="D26" s="20">
        <v>0</v>
      </c>
      <c r="E26" s="21">
        <v>0</v>
      </c>
      <c r="F26" s="20">
        <v>0</v>
      </c>
      <c r="G26" s="21">
        <v>0</v>
      </c>
      <c r="H26" s="20">
        <v>0</v>
      </c>
      <c r="I26" s="21">
        <v>0</v>
      </c>
      <c r="J26" s="20">
        <v>0</v>
      </c>
      <c r="K26" s="21">
        <v>0</v>
      </c>
      <c r="L26" s="20">
        <v>0</v>
      </c>
      <c r="M26" s="21">
        <v>0</v>
      </c>
      <c r="N26" s="20">
        <v>0</v>
      </c>
      <c r="O26" s="21">
        <v>0</v>
      </c>
      <c r="P26" s="20">
        <v>0</v>
      </c>
      <c r="Q26" s="21">
        <v>0</v>
      </c>
      <c r="R26" s="20">
        <v>0</v>
      </c>
      <c r="S26" s="21">
        <v>0</v>
      </c>
      <c r="T26" s="20">
        <v>0</v>
      </c>
      <c r="U26" s="21">
        <v>0</v>
      </c>
      <c r="V26" s="20">
        <v>0</v>
      </c>
      <c r="W26" s="21">
        <v>0</v>
      </c>
      <c r="X26" s="20">
        <v>0</v>
      </c>
      <c r="Y26" s="21">
        <v>0</v>
      </c>
    </row>
    <row r="27" spans="1:25" x14ac:dyDescent="0.25">
      <c r="A27" s="88" t="s">
        <v>15</v>
      </c>
      <c r="B27" s="89"/>
      <c r="C27" s="89"/>
      <c r="D27" s="22">
        <v>9000</v>
      </c>
      <c r="E27" s="22">
        <v>9000</v>
      </c>
      <c r="F27" s="22">
        <v>9000</v>
      </c>
      <c r="G27" s="22">
        <v>9000</v>
      </c>
      <c r="H27" s="22">
        <v>9000</v>
      </c>
      <c r="I27" s="22">
        <v>9000</v>
      </c>
      <c r="J27" s="22">
        <v>9000</v>
      </c>
      <c r="K27" s="22">
        <v>9000</v>
      </c>
      <c r="L27" s="22">
        <v>9000</v>
      </c>
      <c r="M27" s="22">
        <v>9000</v>
      </c>
      <c r="N27" s="22">
        <v>9000</v>
      </c>
      <c r="O27" s="22">
        <v>9000</v>
      </c>
      <c r="P27" s="22">
        <v>9000</v>
      </c>
      <c r="Q27" s="22">
        <v>9000</v>
      </c>
      <c r="R27" s="22">
        <v>9000</v>
      </c>
      <c r="S27" s="22">
        <v>9000</v>
      </c>
      <c r="T27" s="22">
        <v>9000</v>
      </c>
      <c r="U27" s="22">
        <v>9000</v>
      </c>
      <c r="V27" s="22">
        <v>9000</v>
      </c>
      <c r="W27" s="22">
        <v>9000</v>
      </c>
      <c r="X27" s="22">
        <v>9000</v>
      </c>
      <c r="Y27" s="22">
        <v>9000</v>
      </c>
    </row>
    <row r="28" spans="1:25" ht="16.5" customHeight="1" x14ac:dyDescent="0.25">
      <c r="A28" s="151" t="s">
        <v>16</v>
      </c>
      <c r="B28" s="152"/>
      <c r="C28" s="152"/>
      <c r="D28" s="142">
        <v>7000</v>
      </c>
      <c r="E28" s="143"/>
      <c r="F28" s="142">
        <v>11000</v>
      </c>
      <c r="G28" s="143"/>
      <c r="H28" s="142">
        <v>10000</v>
      </c>
      <c r="I28" s="143"/>
      <c r="J28" s="142">
        <v>5500</v>
      </c>
      <c r="K28" s="143"/>
      <c r="L28" s="142">
        <v>10000</v>
      </c>
      <c r="M28" s="143"/>
      <c r="N28" s="142">
        <v>7500</v>
      </c>
      <c r="O28" s="143"/>
      <c r="P28" s="142">
        <v>7500</v>
      </c>
      <c r="Q28" s="143"/>
      <c r="R28" s="142">
        <v>10000</v>
      </c>
      <c r="S28" s="143"/>
      <c r="T28" s="142">
        <v>7500</v>
      </c>
      <c r="U28" s="143"/>
      <c r="V28" s="142">
        <v>7500</v>
      </c>
      <c r="W28" s="143"/>
      <c r="X28" s="142">
        <v>10000</v>
      </c>
      <c r="Y28" s="143"/>
    </row>
    <row r="29" spans="1:25" ht="15.75" thickBot="1" x14ac:dyDescent="0.3">
      <c r="A29" s="114" t="s">
        <v>17</v>
      </c>
      <c r="B29" s="115"/>
      <c r="C29" s="115"/>
      <c r="D29" s="169">
        <v>2200</v>
      </c>
      <c r="E29" s="170"/>
      <c r="F29" s="169">
        <v>2200</v>
      </c>
      <c r="G29" s="170"/>
      <c r="H29" s="169">
        <v>2200</v>
      </c>
      <c r="I29" s="170"/>
      <c r="J29" s="23">
        <v>2200</v>
      </c>
      <c r="K29" s="23"/>
      <c r="L29" s="23">
        <v>2200</v>
      </c>
      <c r="M29" s="23"/>
      <c r="N29" s="23">
        <v>2200</v>
      </c>
      <c r="O29" s="23"/>
      <c r="P29" s="23">
        <v>2200</v>
      </c>
      <c r="Q29" s="23"/>
      <c r="R29" s="169">
        <v>2200</v>
      </c>
      <c r="S29" s="170"/>
      <c r="T29" s="169">
        <v>2200</v>
      </c>
      <c r="U29" s="170"/>
      <c r="V29" s="169">
        <v>2200</v>
      </c>
      <c r="W29" s="170"/>
      <c r="X29" s="169">
        <v>2200</v>
      </c>
      <c r="Y29" s="170"/>
    </row>
    <row r="30" spans="1:25" ht="15.75" thickTop="1" x14ac:dyDescent="0.25">
      <c r="A30" s="160" t="s">
        <v>18</v>
      </c>
      <c r="B30" s="161"/>
      <c r="C30" s="162"/>
      <c r="D30" s="153">
        <v>2200</v>
      </c>
      <c r="E30" s="154"/>
      <c r="F30" s="153">
        <v>2200</v>
      </c>
      <c r="G30" s="154"/>
      <c r="H30" s="153">
        <v>2200</v>
      </c>
      <c r="I30" s="154"/>
      <c r="J30" s="153">
        <v>2200</v>
      </c>
      <c r="K30" s="154"/>
      <c r="L30" s="153">
        <v>2200</v>
      </c>
      <c r="M30" s="154"/>
      <c r="N30" s="153">
        <v>2200</v>
      </c>
      <c r="O30" s="154"/>
      <c r="P30" s="153">
        <v>2200</v>
      </c>
      <c r="Q30" s="154"/>
      <c r="R30" s="153">
        <v>2200</v>
      </c>
      <c r="S30" s="154"/>
      <c r="T30" s="153">
        <v>2200</v>
      </c>
      <c r="U30" s="154"/>
      <c r="V30" s="153">
        <v>2200</v>
      </c>
      <c r="W30" s="154"/>
      <c r="X30" s="153">
        <v>2200</v>
      </c>
      <c r="Y30" s="154"/>
    </row>
    <row r="31" spans="1:25" ht="15.75" customHeight="1" x14ac:dyDescent="0.25">
      <c r="A31" s="155" t="s">
        <v>19</v>
      </c>
      <c r="B31" s="156"/>
      <c r="C31" s="157"/>
      <c r="D31" s="158">
        <v>2200</v>
      </c>
      <c r="E31" s="159"/>
      <c r="F31" s="158">
        <v>2200</v>
      </c>
      <c r="G31" s="159"/>
      <c r="H31" s="158">
        <v>2200</v>
      </c>
      <c r="I31" s="159"/>
      <c r="J31" s="158">
        <v>2200</v>
      </c>
      <c r="K31" s="159"/>
      <c r="L31" s="158">
        <v>2200</v>
      </c>
      <c r="M31" s="159"/>
      <c r="N31" s="158">
        <v>2200</v>
      </c>
      <c r="O31" s="159"/>
      <c r="P31" s="158">
        <v>2200</v>
      </c>
      <c r="Q31" s="159"/>
      <c r="R31" s="158">
        <v>2200</v>
      </c>
      <c r="S31" s="159"/>
      <c r="T31" s="158">
        <v>2200</v>
      </c>
      <c r="U31" s="159"/>
      <c r="V31" s="158">
        <v>2200</v>
      </c>
      <c r="W31" s="159"/>
      <c r="X31" s="158">
        <v>2200</v>
      </c>
      <c r="Y31" s="159"/>
    </row>
    <row r="32" spans="1:25" x14ac:dyDescent="0.25">
      <c r="A32" s="24"/>
      <c r="B32" s="25"/>
      <c r="C32" s="26" t="s">
        <v>46</v>
      </c>
      <c r="D32" s="167">
        <v>93120</v>
      </c>
      <c r="E32" s="168"/>
      <c r="F32" s="167">
        <v>108096</v>
      </c>
      <c r="G32" s="168"/>
      <c r="H32" s="167">
        <v>116520</v>
      </c>
      <c r="I32" s="168"/>
      <c r="J32" s="27">
        <v>135400</v>
      </c>
      <c r="K32" s="28"/>
      <c r="L32" s="27">
        <v>216960</v>
      </c>
      <c r="M32" s="28"/>
      <c r="N32" s="27">
        <v>146160</v>
      </c>
      <c r="O32" s="28"/>
      <c r="P32" s="27">
        <v>116520</v>
      </c>
      <c r="Q32" s="28"/>
      <c r="R32" s="27">
        <v>108096</v>
      </c>
      <c r="S32" s="28"/>
      <c r="T32" s="167">
        <v>111840</v>
      </c>
      <c r="U32" s="168"/>
      <c r="V32" s="167">
        <v>138400</v>
      </c>
      <c r="W32" s="168"/>
      <c r="X32" s="167">
        <v>216960</v>
      </c>
      <c r="Y32" s="168"/>
    </row>
    <row r="33" spans="1:25" ht="15.75" thickBot="1" x14ac:dyDescent="0.3">
      <c r="A33" s="29"/>
      <c r="B33" s="30"/>
      <c r="C33" s="31" t="s">
        <v>20</v>
      </c>
      <c r="D33" s="27">
        <v>5116.9440000000004</v>
      </c>
      <c r="E33" s="32">
        <v>730.99199999999996</v>
      </c>
      <c r="F33" s="27">
        <v>9334.0895999999993</v>
      </c>
      <c r="G33" s="32">
        <v>848.55359999999996</v>
      </c>
      <c r="H33" s="27">
        <v>9146.8199999999979</v>
      </c>
      <c r="I33" s="32">
        <v>914.68199999999979</v>
      </c>
      <c r="J33" s="27">
        <v>5845.8949999999986</v>
      </c>
      <c r="K33" s="32">
        <v>1062.8899999999999</v>
      </c>
      <c r="L33" s="27">
        <v>17031.36</v>
      </c>
      <c r="M33" s="32">
        <v>1703.136</v>
      </c>
      <c r="N33" s="27">
        <v>8605.17</v>
      </c>
      <c r="O33" s="32">
        <v>1147.356</v>
      </c>
      <c r="P33" s="27">
        <v>6860.1149999999989</v>
      </c>
      <c r="Q33" s="32">
        <v>914.6819999999999</v>
      </c>
      <c r="R33" s="27">
        <v>8485.5360000000001</v>
      </c>
      <c r="S33" s="32">
        <v>848.55359999999996</v>
      </c>
      <c r="T33" s="27">
        <v>6584.58</v>
      </c>
      <c r="U33" s="32">
        <v>877.94399999999996</v>
      </c>
      <c r="V33" s="27">
        <v>8148.2999999999993</v>
      </c>
      <c r="W33" s="32">
        <v>1086.4399999999998</v>
      </c>
      <c r="X33" s="27">
        <v>17031.36</v>
      </c>
      <c r="Y33" s="32">
        <v>1703.136</v>
      </c>
    </row>
    <row r="34" spans="1:25" ht="15.75" thickTop="1" x14ac:dyDescent="0.25">
      <c r="A34" s="98" t="s">
        <v>21</v>
      </c>
      <c r="B34" s="99"/>
      <c r="C34" s="99"/>
      <c r="D34" s="33">
        <v>600</v>
      </c>
      <c r="E34" s="34">
        <v>24</v>
      </c>
      <c r="F34" s="33">
        <v>600</v>
      </c>
      <c r="G34" s="34">
        <v>24</v>
      </c>
      <c r="H34" s="33">
        <v>600</v>
      </c>
      <c r="I34" s="34">
        <v>24</v>
      </c>
      <c r="J34" s="33">
        <v>700</v>
      </c>
      <c r="K34" s="34">
        <v>30</v>
      </c>
      <c r="L34" s="33">
        <v>900</v>
      </c>
      <c r="M34" s="34">
        <v>40</v>
      </c>
      <c r="N34" s="33">
        <v>800</v>
      </c>
      <c r="O34" s="34">
        <v>40</v>
      </c>
      <c r="P34" s="33">
        <v>600</v>
      </c>
      <c r="Q34" s="34">
        <v>24</v>
      </c>
      <c r="R34" s="33">
        <v>600</v>
      </c>
      <c r="S34" s="34">
        <v>24</v>
      </c>
      <c r="T34" s="33">
        <v>600</v>
      </c>
      <c r="U34" s="34">
        <v>24</v>
      </c>
      <c r="V34" s="33">
        <v>800</v>
      </c>
      <c r="W34" s="34">
        <v>30</v>
      </c>
      <c r="X34" s="33">
        <v>900</v>
      </c>
      <c r="Y34" s="34">
        <v>40</v>
      </c>
    </row>
    <row r="35" spans="1:25" x14ac:dyDescent="0.25">
      <c r="A35" s="88" t="s">
        <v>22</v>
      </c>
      <c r="B35" s="89"/>
      <c r="C35" s="89"/>
      <c r="D35" s="35"/>
      <c r="E35" s="36"/>
      <c r="F35" s="35"/>
      <c r="G35" s="36"/>
      <c r="H35" s="35"/>
      <c r="I35" s="36"/>
      <c r="J35" s="35"/>
      <c r="K35" s="36"/>
      <c r="L35" s="35">
        <v>800</v>
      </c>
      <c r="M35" s="36">
        <v>40</v>
      </c>
      <c r="N35" s="35"/>
      <c r="O35" s="36"/>
      <c r="P35" s="35"/>
      <c r="Q35" s="36"/>
      <c r="R35" s="35"/>
      <c r="S35" s="36"/>
      <c r="T35" s="35"/>
      <c r="U35" s="36"/>
      <c r="V35" s="35"/>
      <c r="W35" s="36"/>
      <c r="X35" s="35">
        <v>800</v>
      </c>
      <c r="Y35" s="36">
        <v>40</v>
      </c>
    </row>
    <row r="36" spans="1:25" x14ac:dyDescent="0.25">
      <c r="A36" s="114" t="s">
        <v>23</v>
      </c>
      <c r="B36" s="115"/>
      <c r="C36" s="115"/>
      <c r="D36" s="37">
        <v>20</v>
      </c>
      <c r="E36" s="38">
        <v>2136</v>
      </c>
      <c r="F36" s="37">
        <v>16</v>
      </c>
      <c r="G36" s="38">
        <v>2106</v>
      </c>
      <c r="H36" s="37">
        <v>20</v>
      </c>
      <c r="I36" s="38">
        <v>2106</v>
      </c>
      <c r="J36" s="37">
        <v>24</v>
      </c>
      <c r="K36" s="38">
        <v>2100</v>
      </c>
      <c r="L36" s="37">
        <v>24</v>
      </c>
      <c r="M36" s="38">
        <v>2040</v>
      </c>
      <c r="N36" s="37">
        <v>24</v>
      </c>
      <c r="O36" s="38">
        <v>2090</v>
      </c>
      <c r="P36" s="37">
        <v>20</v>
      </c>
      <c r="Q36" s="38">
        <v>2106</v>
      </c>
      <c r="R36" s="37">
        <v>16</v>
      </c>
      <c r="S36" s="38">
        <v>2106</v>
      </c>
      <c r="T36" s="37">
        <v>20</v>
      </c>
      <c r="U36" s="38">
        <v>2112</v>
      </c>
      <c r="V36" s="37">
        <v>24</v>
      </c>
      <c r="W36" s="38">
        <v>2100</v>
      </c>
      <c r="X36" s="37">
        <v>24</v>
      </c>
      <c r="Y36" s="38">
        <v>2040</v>
      </c>
    </row>
    <row r="37" spans="1:25" x14ac:dyDescent="0.25">
      <c r="A37" s="116" t="s">
        <v>24</v>
      </c>
      <c r="B37" s="117"/>
      <c r="C37" s="117"/>
      <c r="D37" s="39"/>
      <c r="E37" s="40"/>
      <c r="F37" s="39">
        <v>800</v>
      </c>
      <c r="G37" s="40">
        <v>30</v>
      </c>
      <c r="H37" s="39">
        <v>800</v>
      </c>
      <c r="I37" s="40">
        <v>30</v>
      </c>
      <c r="J37" s="39">
        <v>800</v>
      </c>
      <c r="K37" s="40">
        <v>30</v>
      </c>
      <c r="L37" s="39">
        <v>1200</v>
      </c>
      <c r="M37" s="40">
        <v>40</v>
      </c>
      <c r="N37" s="39">
        <v>800</v>
      </c>
      <c r="O37" s="40">
        <v>30</v>
      </c>
      <c r="P37" s="39">
        <v>800</v>
      </c>
      <c r="Q37" s="40">
        <v>30</v>
      </c>
      <c r="R37" s="39">
        <v>800</v>
      </c>
      <c r="S37" s="40">
        <v>30</v>
      </c>
      <c r="T37" s="39">
        <v>800</v>
      </c>
      <c r="U37" s="40">
        <v>24</v>
      </c>
      <c r="V37" s="39">
        <v>800</v>
      </c>
      <c r="W37" s="40">
        <v>30</v>
      </c>
      <c r="X37" s="39">
        <v>1200</v>
      </c>
      <c r="Y37" s="40">
        <v>40</v>
      </c>
    </row>
    <row r="38" spans="1:25" ht="15.75" thickBot="1" x14ac:dyDescent="0.3">
      <c r="A38" s="112" t="s">
        <v>25</v>
      </c>
      <c r="B38" s="113"/>
      <c r="C38" s="113"/>
      <c r="D38" s="41">
        <v>900</v>
      </c>
      <c r="E38" s="42">
        <v>40</v>
      </c>
      <c r="F38" s="41">
        <v>900</v>
      </c>
      <c r="G38" s="42">
        <v>40</v>
      </c>
      <c r="H38" s="41">
        <v>900</v>
      </c>
      <c r="I38" s="42">
        <v>40</v>
      </c>
      <c r="J38" s="41">
        <v>1000</v>
      </c>
      <c r="K38" s="42">
        <v>40</v>
      </c>
      <c r="L38" s="41">
        <v>1300</v>
      </c>
      <c r="M38" s="42">
        <v>40</v>
      </c>
      <c r="N38" s="41">
        <v>1000</v>
      </c>
      <c r="O38" s="42">
        <v>40</v>
      </c>
      <c r="P38" s="41">
        <v>900</v>
      </c>
      <c r="Q38" s="42">
        <v>40</v>
      </c>
      <c r="R38" s="41">
        <v>900</v>
      </c>
      <c r="S38" s="42">
        <v>40</v>
      </c>
      <c r="T38" s="41">
        <v>900</v>
      </c>
      <c r="U38" s="42">
        <v>40</v>
      </c>
      <c r="V38" s="41">
        <v>1000</v>
      </c>
      <c r="W38" s="42">
        <v>40</v>
      </c>
      <c r="X38" s="41">
        <v>1300</v>
      </c>
      <c r="Y38" s="42">
        <v>40</v>
      </c>
    </row>
    <row r="39" spans="1:25" ht="15.75" thickBot="1" x14ac:dyDescent="0.3">
      <c r="A39" s="109" t="s">
        <v>26</v>
      </c>
      <c r="B39" s="110"/>
      <c r="C39" s="111"/>
      <c r="D39" s="43" t="s">
        <v>47</v>
      </c>
      <c r="E39" s="44" t="s">
        <v>47</v>
      </c>
      <c r="F39" s="43" t="s">
        <v>47</v>
      </c>
      <c r="G39" s="44" t="s">
        <v>47</v>
      </c>
      <c r="H39" s="43" t="s">
        <v>47</v>
      </c>
      <c r="I39" s="44" t="s">
        <v>47</v>
      </c>
      <c r="J39" s="43" t="s">
        <v>47</v>
      </c>
      <c r="K39" s="44" t="s">
        <v>48</v>
      </c>
      <c r="L39" s="43" t="s">
        <v>47</v>
      </c>
      <c r="M39" s="44" t="s">
        <v>48</v>
      </c>
      <c r="N39" s="43" t="s">
        <v>47</v>
      </c>
      <c r="O39" s="44" t="s">
        <v>48</v>
      </c>
      <c r="P39" s="43" t="s">
        <v>47</v>
      </c>
      <c r="Q39" s="44" t="s">
        <v>47</v>
      </c>
      <c r="R39" s="43" t="s">
        <v>47</v>
      </c>
      <c r="S39" s="44" t="s">
        <v>47</v>
      </c>
      <c r="T39" s="43" t="s">
        <v>47</v>
      </c>
      <c r="U39" s="44" t="s">
        <v>47</v>
      </c>
      <c r="V39" s="43" t="s">
        <v>47</v>
      </c>
      <c r="W39" s="44" t="s">
        <v>48</v>
      </c>
      <c r="X39" s="43" t="s">
        <v>47</v>
      </c>
      <c r="Y39" s="44" t="s">
        <v>48</v>
      </c>
    </row>
    <row r="40" spans="1:25" ht="15.75" customHeight="1" x14ac:dyDescent="0.25">
      <c r="A40" s="96" t="s">
        <v>27</v>
      </c>
      <c r="B40" s="118"/>
      <c r="C40" s="118"/>
      <c r="D40" s="107" t="s">
        <v>49</v>
      </c>
      <c r="E40" s="108"/>
      <c r="F40" s="107" t="s">
        <v>49</v>
      </c>
      <c r="G40" s="108"/>
      <c r="H40" s="107" t="s">
        <v>49</v>
      </c>
      <c r="I40" s="108"/>
      <c r="J40" s="107" t="s">
        <v>50</v>
      </c>
      <c r="K40" s="108"/>
      <c r="L40" s="107" t="s">
        <v>50</v>
      </c>
      <c r="M40" s="108"/>
      <c r="N40" s="107" t="s">
        <v>50</v>
      </c>
      <c r="O40" s="108"/>
      <c r="P40" s="107" t="s">
        <v>49</v>
      </c>
      <c r="Q40" s="108"/>
      <c r="R40" s="107" t="s">
        <v>49</v>
      </c>
      <c r="S40" s="108"/>
      <c r="T40" s="107" t="s">
        <v>49</v>
      </c>
      <c r="U40" s="108"/>
      <c r="V40" s="107" t="s">
        <v>50</v>
      </c>
      <c r="W40" s="108"/>
      <c r="X40" s="107" t="s">
        <v>50</v>
      </c>
      <c r="Y40" s="108"/>
    </row>
    <row r="41" spans="1:25" ht="15.75" customHeight="1" thickBot="1" x14ac:dyDescent="0.3">
      <c r="A41" s="135" t="s">
        <v>28</v>
      </c>
      <c r="B41" s="135"/>
      <c r="C41" s="135"/>
      <c r="D41" s="119" t="s">
        <v>69</v>
      </c>
      <c r="E41" s="120"/>
      <c r="F41" s="119" t="s">
        <v>51</v>
      </c>
      <c r="G41" s="120"/>
      <c r="H41" s="119" t="s">
        <v>51</v>
      </c>
      <c r="I41" s="120"/>
      <c r="J41" s="119" t="s">
        <v>51</v>
      </c>
      <c r="K41" s="120"/>
      <c r="L41" s="119" t="s">
        <v>51</v>
      </c>
      <c r="M41" s="120"/>
      <c r="N41" s="119" t="s">
        <v>51</v>
      </c>
      <c r="O41" s="120"/>
      <c r="P41" s="119" t="s">
        <v>51</v>
      </c>
      <c r="Q41" s="120"/>
      <c r="R41" s="119" t="s">
        <v>51</v>
      </c>
      <c r="S41" s="120"/>
      <c r="T41" s="119" t="s">
        <v>97</v>
      </c>
      <c r="U41" s="120"/>
      <c r="V41" s="119" t="s">
        <v>51</v>
      </c>
      <c r="W41" s="120"/>
      <c r="X41" s="119" t="s">
        <v>51</v>
      </c>
      <c r="Y41" s="120"/>
    </row>
    <row r="42" spans="1:25" ht="15.75" customHeight="1" thickBot="1" x14ac:dyDescent="0.3">
      <c r="A42" s="136" t="s">
        <v>31</v>
      </c>
      <c r="B42" s="137"/>
      <c r="C42" s="137"/>
      <c r="D42" s="137"/>
      <c r="E42" s="137"/>
      <c r="F42" s="137"/>
      <c r="G42" s="137"/>
      <c r="H42" s="137"/>
      <c r="I42" s="137"/>
      <c r="J42" s="138"/>
      <c r="K42" s="47"/>
      <c r="L42" s="48" t="s">
        <v>32</v>
      </c>
      <c r="M42" s="45">
        <v>12</v>
      </c>
      <c r="N42" s="45" t="s">
        <v>53</v>
      </c>
      <c r="O42" s="45"/>
      <c r="P42" s="45"/>
      <c r="Q42" s="46"/>
      <c r="R42" s="48" t="s">
        <v>32</v>
      </c>
      <c r="S42" s="45">
        <v>12</v>
      </c>
      <c r="T42" s="45" t="s">
        <v>53</v>
      </c>
      <c r="U42" s="45"/>
      <c r="V42" s="45"/>
      <c r="W42" s="46"/>
      <c r="X42" s="48" t="s">
        <v>33</v>
      </c>
      <c r="Y42" s="45">
        <v>23</v>
      </c>
    </row>
    <row r="43" spans="1:25" ht="18.75" thickBot="1" x14ac:dyDescent="0.3">
      <c r="A43" s="49"/>
      <c r="B43" s="50"/>
      <c r="C43" s="50"/>
      <c r="D43" s="51"/>
      <c r="E43" s="51"/>
      <c r="F43" s="52"/>
      <c r="G43" s="52"/>
      <c r="H43" s="52"/>
      <c r="I43" s="52"/>
      <c r="J43" s="53"/>
      <c r="K43" s="54"/>
      <c r="L43" s="53"/>
      <c r="M43" s="53"/>
      <c r="N43" s="2"/>
      <c r="O43" s="2"/>
      <c r="P43" s="53"/>
      <c r="Q43" s="53"/>
      <c r="R43" s="55"/>
      <c r="S43" s="55"/>
      <c r="T43" s="53"/>
      <c r="U43" s="53"/>
      <c r="V43" s="53"/>
      <c r="W43" s="53"/>
      <c r="X43" s="53"/>
      <c r="Y43" s="53"/>
    </row>
    <row r="44" spans="1:25" ht="15.75" thickBot="1" x14ac:dyDescent="0.3">
      <c r="A44" s="104" t="s">
        <v>0</v>
      </c>
      <c r="B44" s="105"/>
      <c r="C44" s="106"/>
      <c r="D44" s="90">
        <v>1</v>
      </c>
      <c r="E44" s="91"/>
      <c r="F44" s="102">
        <v>2</v>
      </c>
      <c r="G44" s="103"/>
      <c r="H44" s="102">
        <v>3</v>
      </c>
      <c r="I44" s="103"/>
      <c r="J44" s="100">
        <v>4</v>
      </c>
      <c r="K44" s="101"/>
      <c r="L44" s="90">
        <v>5</v>
      </c>
      <c r="M44" s="91"/>
      <c r="N44" s="100">
        <v>6</v>
      </c>
      <c r="O44" s="101"/>
      <c r="P44" s="102">
        <v>7</v>
      </c>
      <c r="Q44" s="103"/>
      <c r="R44" s="102">
        <v>8</v>
      </c>
      <c r="S44" s="103"/>
      <c r="T44" s="102">
        <v>9</v>
      </c>
      <c r="U44" s="103"/>
      <c r="V44" s="100">
        <v>10</v>
      </c>
      <c r="W44" s="101"/>
      <c r="X44" s="90">
        <v>11</v>
      </c>
      <c r="Y44" s="91"/>
    </row>
    <row r="45" spans="1:25" ht="15.75" thickTop="1" x14ac:dyDescent="0.25">
      <c r="A45" s="139" t="s">
        <v>34</v>
      </c>
      <c r="B45" s="124" t="s">
        <v>35</v>
      </c>
      <c r="C45" s="125"/>
      <c r="D45" s="56" t="s">
        <v>52</v>
      </c>
      <c r="E45" s="57">
        <f>Variecose!E45-Gaudicose!E45</f>
        <v>5.1187201314806252E-6</v>
      </c>
      <c r="F45" s="56" t="s">
        <v>52</v>
      </c>
      <c r="G45" s="57">
        <f>Variecose!G45-Gaudicose!G45</f>
        <v>-1.4545798640352992E-5</v>
      </c>
      <c r="H45" s="56" t="s">
        <v>52</v>
      </c>
      <c r="I45" s="57">
        <f>Variecose!I45-Gaudicose!I45</f>
        <v>-2.373891732077027E-6</v>
      </c>
      <c r="J45" s="56" t="s">
        <v>52</v>
      </c>
      <c r="K45" s="57">
        <f>Variecose!K45-Gaudicose!K45</f>
        <v>-2.1937632945390195E-5</v>
      </c>
      <c r="L45" s="56" t="s">
        <v>52</v>
      </c>
      <c r="M45" s="57">
        <f>Variecose!M45-Gaudicose!M45</f>
        <v>9.5061704524779245E-6</v>
      </c>
      <c r="N45" s="56" t="s">
        <v>52</v>
      </c>
      <c r="O45" s="57">
        <f>Variecose!O45-Gaudicose!O45</f>
        <v>1.7510447155691042E-5</v>
      </c>
      <c r="P45" s="56" t="s">
        <v>52</v>
      </c>
      <c r="Q45" s="57">
        <f>Variecose!Q45-Gaudicose!Q45</f>
        <v>2.6012680772902197E-5</v>
      </c>
      <c r="R45" s="56" t="s">
        <v>52</v>
      </c>
      <c r="S45" s="57">
        <f>Variecose!S45-Gaudicose!S45</f>
        <v>2.8677097295704002E-6</v>
      </c>
      <c r="T45" s="56" t="s">
        <v>52</v>
      </c>
      <c r="U45" s="57">
        <f>Variecose!U45-Gaudicose!U45</f>
        <v>2.3844778486159512E-5</v>
      </c>
      <c r="V45" s="56" t="s">
        <v>52</v>
      </c>
      <c r="W45" s="57">
        <f>Variecose!W45-Gaudicose!W45</f>
        <v>1.5090529095960342E-5</v>
      </c>
      <c r="X45" s="56" t="s">
        <v>52</v>
      </c>
      <c r="Y45" s="57">
        <f>Variecose!Y45-Gaudicose!Y45</f>
        <v>1.7511366623423896E-6</v>
      </c>
    </row>
    <row r="46" spans="1:25" ht="15.75" thickBot="1" x14ac:dyDescent="0.3">
      <c r="A46" s="140"/>
      <c r="B46" s="131"/>
      <c r="C46" s="132"/>
      <c r="D46" s="58" t="b">
        <f>IF(Variecose!D46=Gaudicose!D46,TRUE,FALSE)</f>
        <v>1</v>
      </c>
      <c r="E46" s="58" t="b">
        <f>IF(Variecose!E46=Gaudicose!E46,TRUE,FALSE)</f>
        <v>1</v>
      </c>
      <c r="F46" s="58" t="b">
        <f>IF(Variecose!F46=Gaudicose!F46,TRUE,FALSE)</f>
        <v>1</v>
      </c>
      <c r="G46" s="58" t="b">
        <f>IF(Variecose!G46=Gaudicose!G46,TRUE,FALSE)</f>
        <v>1</v>
      </c>
      <c r="H46" s="58" t="b">
        <f>IF(Variecose!H46=Gaudicose!H46,TRUE,FALSE)</f>
        <v>1</v>
      </c>
      <c r="I46" s="58" t="b">
        <f>IF(Variecose!I46=Gaudicose!I46,TRUE,FALSE)</f>
        <v>1</v>
      </c>
      <c r="J46" s="58" t="b">
        <f>IF(Variecose!J46=Gaudicose!J46,TRUE,FALSE)</f>
        <v>1</v>
      </c>
      <c r="K46" s="58" t="b">
        <f>IF(Variecose!K46=Gaudicose!K46,TRUE,FALSE)</f>
        <v>1</v>
      </c>
      <c r="L46" s="58" t="b">
        <f>IF(Variecose!L46=Gaudicose!L46,TRUE,FALSE)</f>
        <v>1</v>
      </c>
      <c r="M46" s="58" t="b">
        <f>IF(Variecose!M46=Gaudicose!M46,TRUE,FALSE)</f>
        <v>1</v>
      </c>
      <c r="N46" s="58" t="b">
        <f>IF(Variecose!N46=Gaudicose!N46,TRUE,FALSE)</f>
        <v>1</v>
      </c>
      <c r="O46" s="58" t="b">
        <f>IF(Variecose!O46=Gaudicose!O46,TRUE,FALSE)</f>
        <v>1</v>
      </c>
      <c r="P46" s="58" t="b">
        <f>IF(Variecose!P46=Gaudicose!P46,TRUE,FALSE)</f>
        <v>1</v>
      </c>
      <c r="Q46" s="58" t="b">
        <f>IF(Variecose!Q46=Gaudicose!Q46,TRUE,FALSE)</f>
        <v>1</v>
      </c>
      <c r="R46" s="58" t="b">
        <f>IF(Variecose!R46=Gaudicose!R46,TRUE,FALSE)</f>
        <v>1</v>
      </c>
      <c r="S46" s="58" t="b">
        <f>IF(Variecose!S46=Gaudicose!S46,TRUE,FALSE)</f>
        <v>1</v>
      </c>
      <c r="T46" s="58" t="b">
        <f>IF(Variecose!T46=Gaudicose!T46,TRUE,FALSE)</f>
        <v>1</v>
      </c>
      <c r="U46" s="58" t="b">
        <f>IF(Variecose!U46=Gaudicose!U46,TRUE,FALSE)</f>
        <v>1</v>
      </c>
      <c r="V46" s="58" t="b">
        <f>IF(Variecose!V46=Gaudicose!V46,TRUE,FALSE)</f>
        <v>1</v>
      </c>
      <c r="W46" s="58" t="b">
        <f>IF(Variecose!W46=Gaudicose!W46,TRUE,FALSE)</f>
        <v>1</v>
      </c>
      <c r="X46" s="58" t="b">
        <f>IF(Variecose!X46=Gaudicose!X46,TRUE,FALSE)</f>
        <v>1</v>
      </c>
      <c r="Y46" s="58" t="b">
        <f>IF(Variecose!Y46=Gaudicose!Y46,TRUE,FALSE)</f>
        <v>1</v>
      </c>
    </row>
    <row r="47" spans="1:25" ht="15.75" thickTop="1" x14ac:dyDescent="0.25">
      <c r="A47" s="140"/>
      <c r="B47" s="130" t="s">
        <v>36</v>
      </c>
      <c r="C47" s="129"/>
      <c r="D47" s="56" t="s">
        <v>52</v>
      </c>
      <c r="E47" s="57">
        <f>Variecose!E47-Gaudicose!E47</f>
        <v>0</v>
      </c>
      <c r="F47" s="56" t="s">
        <v>52</v>
      </c>
      <c r="G47" s="57">
        <f>Variecose!G47-Gaudicose!G47</f>
        <v>5.454380656189084E-6</v>
      </c>
      <c r="H47" s="56" t="s">
        <v>52</v>
      </c>
      <c r="I47" s="57">
        <f>Variecose!I47-Gaudicose!I47</f>
        <v>-2.8852271748008862E-5</v>
      </c>
      <c r="J47" s="56" t="s">
        <v>52</v>
      </c>
      <c r="K47" s="57">
        <f>Variecose!K47-Gaudicose!K47</f>
        <v>3.9439659758055967E-6</v>
      </c>
      <c r="L47" s="56" t="s">
        <v>52</v>
      </c>
      <c r="M47" s="57">
        <f>Variecose!M47-Gaudicose!M47</f>
        <v>1.1507469495020128E-5</v>
      </c>
      <c r="N47" s="56" t="s">
        <v>52</v>
      </c>
      <c r="O47" s="57">
        <f>Variecose!O47-Gaudicose!O47</f>
        <v>7.4540952725854481E-6</v>
      </c>
      <c r="P47" s="56" t="s">
        <v>52</v>
      </c>
      <c r="Q47" s="57">
        <f>Variecose!Q47-Gaudicose!Q47</f>
        <v>3.1747289689736113E-5</v>
      </c>
      <c r="R47" s="56" t="s">
        <v>52</v>
      </c>
      <c r="S47" s="57">
        <f>Variecose!S47-Gaudicose!S47</f>
        <v>3.5368376623434727E-5</v>
      </c>
      <c r="T47" s="56" t="s">
        <v>52</v>
      </c>
      <c r="U47" s="57">
        <f>Variecose!U47-Gaudicose!U47</f>
        <v>-1.5739563251061101E-5</v>
      </c>
      <c r="V47" s="56" t="s">
        <v>52</v>
      </c>
      <c r="W47" s="57">
        <f>Variecose!W47-Gaudicose!W47</f>
        <v>-2.6038395197769404E-6</v>
      </c>
      <c r="X47" s="56" t="s">
        <v>52</v>
      </c>
      <c r="Y47" s="57">
        <f>Variecose!Y47-Gaudicose!Y47</f>
        <v>7.7300175521599623E-5</v>
      </c>
    </row>
    <row r="48" spans="1:25" ht="15.75" thickBot="1" x14ac:dyDescent="0.3">
      <c r="A48" s="140"/>
      <c r="B48" s="131"/>
      <c r="C48" s="132"/>
      <c r="D48" s="58" t="b">
        <f>IF(Variecose!D48=Gaudicose!D48,TRUE,FALSE)</f>
        <v>1</v>
      </c>
      <c r="E48" s="58" t="b">
        <f>IF(Variecose!E48=Gaudicose!E48,TRUE,FALSE)</f>
        <v>1</v>
      </c>
      <c r="F48" s="58" t="b">
        <f>IF(Variecose!F48=Gaudicose!F48,TRUE,FALSE)</f>
        <v>1</v>
      </c>
      <c r="G48" s="58" t="b">
        <f>IF(Variecose!G48=Gaudicose!G48,TRUE,FALSE)</f>
        <v>1</v>
      </c>
      <c r="H48" s="58" t="b">
        <f>IF(Variecose!H48=Gaudicose!H48,TRUE,FALSE)</f>
        <v>0</v>
      </c>
      <c r="I48" s="58" t="b">
        <f>IF(Variecose!I48=Gaudicose!I48,TRUE,FALSE)</f>
        <v>1</v>
      </c>
      <c r="J48" s="58" t="b">
        <f>IF(Variecose!J48=Gaudicose!J48,TRUE,FALSE)</f>
        <v>1</v>
      </c>
      <c r="K48" s="58" t="b">
        <f>IF(Variecose!K48=Gaudicose!K48,TRUE,FALSE)</f>
        <v>1</v>
      </c>
      <c r="L48" s="58" t="b">
        <f>IF(Variecose!L48=Gaudicose!L48,TRUE,FALSE)</f>
        <v>1</v>
      </c>
      <c r="M48" s="58" t="b">
        <f>IF(Variecose!M48=Gaudicose!M48,TRUE,FALSE)</f>
        <v>1</v>
      </c>
      <c r="N48" s="58" t="b">
        <f>IF(Variecose!N48=Gaudicose!N48,TRUE,FALSE)</f>
        <v>1</v>
      </c>
      <c r="O48" s="58" t="b">
        <f>IF(Variecose!O48=Gaudicose!O48,TRUE,FALSE)</f>
        <v>1</v>
      </c>
      <c r="P48" s="58" t="b">
        <f>IF(Variecose!P48=Gaudicose!P48,TRUE,FALSE)</f>
        <v>1</v>
      </c>
      <c r="Q48" s="58" t="b">
        <f>IF(Variecose!Q48=Gaudicose!Q48,TRUE,FALSE)</f>
        <v>1</v>
      </c>
      <c r="R48" s="58" t="b">
        <f>IF(Variecose!R48=Gaudicose!R48,TRUE,FALSE)</f>
        <v>1</v>
      </c>
      <c r="S48" s="58" t="b">
        <f>IF(Variecose!S48=Gaudicose!S48,TRUE,FALSE)</f>
        <v>1</v>
      </c>
      <c r="T48" s="58" t="b">
        <f>IF(Variecose!T48=Gaudicose!T48,TRUE,FALSE)</f>
        <v>1</v>
      </c>
      <c r="U48" s="58" t="b">
        <f>IF(Variecose!U48=Gaudicose!U48,TRUE,FALSE)</f>
        <v>1</v>
      </c>
      <c r="V48" s="58" t="b">
        <f>IF(Variecose!V48=Gaudicose!V48,TRUE,FALSE)</f>
        <v>1</v>
      </c>
      <c r="W48" s="58" t="b">
        <f>IF(Variecose!W48=Gaudicose!W48,TRUE,FALSE)</f>
        <v>1</v>
      </c>
      <c r="X48" s="58" t="b">
        <f>IF(Variecose!X48=Gaudicose!X48,TRUE,FALSE)</f>
        <v>1</v>
      </c>
      <c r="Y48" s="58" t="b">
        <f>IF(Variecose!Y48=Gaudicose!Y48,TRUE,FALSE)</f>
        <v>1</v>
      </c>
    </row>
    <row r="49" spans="1:25" ht="15.75" thickTop="1" x14ac:dyDescent="0.25">
      <c r="A49" s="140"/>
      <c r="B49" s="130" t="s">
        <v>37</v>
      </c>
      <c r="C49" s="129"/>
      <c r="D49" s="56" t="s">
        <v>52</v>
      </c>
      <c r="E49" s="57">
        <f>Variecose!E49-Gaudicose!E49</f>
        <v>-6.5449635581332766E-5</v>
      </c>
      <c r="F49" s="56" t="s">
        <v>52</v>
      </c>
      <c r="G49" s="57">
        <f>Variecose!G49-Gaudicose!G49</f>
        <v>-4.0486737477724022E-5</v>
      </c>
      <c r="H49" s="56" t="s">
        <v>52</v>
      </c>
      <c r="I49" s="57">
        <f>Variecose!I49-Gaudicose!I49</f>
        <v>-1.0570744549864841E-4</v>
      </c>
      <c r="J49" s="56" t="s">
        <v>52</v>
      </c>
      <c r="K49" s="57">
        <f>Variecose!K49-Gaudicose!K49</f>
        <v>-5.4124000864963495E-5</v>
      </c>
      <c r="L49" s="56" t="s">
        <v>52</v>
      </c>
      <c r="M49" s="57">
        <f>Variecose!M49-Gaudicose!M49</f>
        <v>-4.4602799858239894E-5</v>
      </c>
      <c r="N49" s="56" t="s">
        <v>52</v>
      </c>
      <c r="O49" s="57">
        <f>Variecose!O49-Gaudicose!O49</f>
        <v>5.8084892957721568E-5</v>
      </c>
      <c r="P49" s="56" t="s">
        <v>52</v>
      </c>
      <c r="Q49" s="57">
        <f>Variecose!Q49-Gaudicose!Q49</f>
        <v>3.5319918006704309E-5</v>
      </c>
      <c r="R49" s="56" t="s">
        <v>52</v>
      </c>
      <c r="S49" s="57">
        <f>Variecose!S49-Gaudicose!S49</f>
        <v>9.4363850948214756E-5</v>
      </c>
      <c r="T49" s="56" t="s">
        <v>52</v>
      </c>
      <c r="U49" s="57">
        <f>Variecose!U49-Gaudicose!U49</f>
        <v>8.3140952563454107E-5</v>
      </c>
      <c r="V49" s="56" t="s">
        <v>52</v>
      </c>
      <c r="W49" s="57">
        <f>Variecose!W49-Gaudicose!W49</f>
        <v>-3.5544155302158487E-5</v>
      </c>
      <c r="X49" s="56" t="s">
        <v>52</v>
      </c>
      <c r="Y49" s="57">
        <f>Variecose!Y49-Gaudicose!Y49</f>
        <v>-2.599795403557259E-5</v>
      </c>
    </row>
    <row r="50" spans="1:25" ht="15.75" thickBot="1" x14ac:dyDescent="0.3">
      <c r="A50" s="140"/>
      <c r="B50" s="131"/>
      <c r="C50" s="132"/>
      <c r="D50" s="58" t="b">
        <f>IF(Variecose!D50=Gaudicose!D50,TRUE,FALSE)</f>
        <v>1</v>
      </c>
      <c r="E50" s="58" t="b">
        <f>IF(Variecose!E50=Gaudicose!E50,TRUE,FALSE)</f>
        <v>1</v>
      </c>
      <c r="F50" s="58" t="b">
        <f>IF(Variecose!F50=Gaudicose!F50,TRUE,FALSE)</f>
        <v>1</v>
      </c>
      <c r="G50" s="58" t="b">
        <f>IF(Variecose!G50=Gaudicose!G50,TRUE,FALSE)</f>
        <v>1</v>
      </c>
      <c r="H50" s="58" t="b">
        <f>IF(Variecose!H50=Gaudicose!H50,TRUE,FALSE)</f>
        <v>1</v>
      </c>
      <c r="I50" s="58" t="b">
        <f>IF(Variecose!I50=Gaudicose!I50,TRUE,FALSE)</f>
        <v>1</v>
      </c>
      <c r="J50" s="58" t="b">
        <f>IF(Variecose!J50=Gaudicose!J50,TRUE,FALSE)</f>
        <v>1</v>
      </c>
      <c r="K50" s="58" t="b">
        <f>IF(Variecose!K50=Gaudicose!K50,TRUE,FALSE)</f>
        <v>1</v>
      </c>
      <c r="L50" s="58" t="b">
        <f>IF(Variecose!L50=Gaudicose!L50,TRUE,FALSE)</f>
        <v>1</v>
      </c>
      <c r="M50" s="58" t="b">
        <f>IF(Variecose!M50=Gaudicose!M50,TRUE,FALSE)</f>
        <v>1</v>
      </c>
      <c r="N50" s="58" t="b">
        <f>IF(Variecose!N50=Gaudicose!N50,TRUE,FALSE)</f>
        <v>1</v>
      </c>
      <c r="O50" s="58" t="b">
        <f>IF(Variecose!O50=Gaudicose!O50,TRUE,FALSE)</f>
        <v>1</v>
      </c>
      <c r="P50" s="58" t="b">
        <f>IF(Variecose!P50=Gaudicose!P50,TRUE,FALSE)</f>
        <v>1</v>
      </c>
      <c r="Q50" s="58" t="b">
        <f>IF(Variecose!Q50=Gaudicose!Q50,TRUE,FALSE)</f>
        <v>1</v>
      </c>
      <c r="R50" s="58" t="b">
        <f>IF(Variecose!R50=Gaudicose!R50,TRUE,FALSE)</f>
        <v>1</v>
      </c>
      <c r="S50" s="58" t="b">
        <f>IF(Variecose!S50=Gaudicose!S50,TRUE,FALSE)</f>
        <v>1</v>
      </c>
      <c r="T50" s="58" t="b">
        <f>IF(Variecose!T50=Gaudicose!T50,TRUE,FALSE)</f>
        <v>1</v>
      </c>
      <c r="U50" s="58" t="b">
        <f>IF(Variecose!U50=Gaudicose!U50,TRUE,FALSE)</f>
        <v>1</v>
      </c>
      <c r="V50" s="58" t="b">
        <f>IF(Variecose!V50=Gaudicose!V50,TRUE,FALSE)</f>
        <v>1</v>
      </c>
      <c r="W50" s="58" t="b">
        <f>IF(Variecose!W50=Gaudicose!W50,TRUE,FALSE)</f>
        <v>1</v>
      </c>
      <c r="X50" s="58" t="b">
        <f>IF(Variecose!X50=Gaudicose!X50,TRUE,FALSE)</f>
        <v>1</v>
      </c>
      <c r="Y50" s="58" t="b">
        <f>IF(Variecose!Y50=Gaudicose!Y50,TRUE,FALSE)</f>
        <v>1</v>
      </c>
    </row>
    <row r="51" spans="1:25" ht="15.75" thickTop="1" x14ac:dyDescent="0.25">
      <c r="A51" s="140"/>
      <c r="B51" s="130" t="s">
        <v>38</v>
      </c>
      <c r="C51" s="129"/>
      <c r="D51" s="56" t="s">
        <v>52</v>
      </c>
      <c r="E51" s="57">
        <f>Variecose!E51-Gaudicose!E51</f>
        <v>2.0756272174838608E-3</v>
      </c>
      <c r="F51" s="56" t="s">
        <v>52</v>
      </c>
      <c r="G51" s="57">
        <f>Variecose!G51-Gaudicose!G51</f>
        <v>1.3128129636494634E-2</v>
      </c>
      <c r="H51" s="56" t="s">
        <v>52</v>
      </c>
      <c r="I51" s="57">
        <f>Variecose!I51-Gaudicose!I51</f>
        <v>2.5618217260413995E-3</v>
      </c>
      <c r="J51" s="56" t="s">
        <v>52</v>
      </c>
      <c r="K51" s="57">
        <f>Variecose!K51-Gaudicose!K51</f>
        <v>2.0097123518067195E-3</v>
      </c>
      <c r="L51" s="56" t="s">
        <v>52</v>
      </c>
      <c r="M51" s="57">
        <f>Variecose!M51-Gaudicose!M51</f>
        <v>1.4196512938295658E-3</v>
      </c>
      <c r="N51" s="56" t="s">
        <v>52</v>
      </c>
      <c r="O51" s="57">
        <f>Variecose!O51-Gaudicose!O51</f>
        <v>2.1886814619785921E-3</v>
      </c>
      <c r="P51" s="56" t="s">
        <v>52</v>
      </c>
      <c r="Q51" s="57">
        <f>Variecose!Q51-Gaudicose!Q51</f>
        <v>1.2777664805229683E-3</v>
      </c>
      <c r="R51" s="56" t="s">
        <v>52</v>
      </c>
      <c r="S51" s="57">
        <f>Variecose!S51-Gaudicose!S51</f>
        <v>2.1142465730244066E-2</v>
      </c>
      <c r="T51" s="56" t="s">
        <v>52</v>
      </c>
      <c r="U51" s="57">
        <f>Variecose!U51-Gaudicose!U51</f>
        <v>1.3267242574455523E-3</v>
      </c>
      <c r="V51" s="56" t="s">
        <v>52</v>
      </c>
      <c r="W51" s="57">
        <f>Variecose!W51-Gaudicose!W51</f>
        <v>2.0976742903179857E-3</v>
      </c>
      <c r="X51" s="56" t="s">
        <v>52</v>
      </c>
      <c r="Y51" s="57">
        <f>Variecose!Y51-Gaudicose!Y51</f>
        <v>1.4451681043859133E-3</v>
      </c>
    </row>
    <row r="52" spans="1:25" ht="15.75" thickBot="1" x14ac:dyDescent="0.3">
      <c r="A52" s="141"/>
      <c r="B52" s="133"/>
      <c r="C52" s="134"/>
      <c r="D52" s="58" t="b">
        <f>IF(Variecose!D52=Gaudicose!D52,TRUE,FALSE)</f>
        <v>1</v>
      </c>
      <c r="E52" s="58" t="b">
        <f>IF(Variecose!E52=Gaudicose!E52,TRUE,FALSE)</f>
        <v>1</v>
      </c>
      <c r="F52" s="58" t="b">
        <f>IF(Variecose!F52=Gaudicose!F52,TRUE,FALSE)</f>
        <v>1</v>
      </c>
      <c r="G52" s="58" t="b">
        <f>IF(Variecose!G52=Gaudicose!G52,TRUE,FALSE)</f>
        <v>1</v>
      </c>
      <c r="H52" s="58" t="b">
        <f>IF(Variecose!H52=Gaudicose!H52,TRUE,FALSE)</f>
        <v>1</v>
      </c>
      <c r="I52" s="58" t="b">
        <f>IF(Variecose!I52=Gaudicose!I52,TRUE,FALSE)</f>
        <v>1</v>
      </c>
      <c r="J52" s="58" t="b">
        <f>IF(Variecose!J52=Gaudicose!J52,TRUE,FALSE)</f>
        <v>0</v>
      </c>
      <c r="K52" s="58" t="b">
        <f>IF(Variecose!K52=Gaudicose!K52,TRUE,FALSE)</f>
        <v>1</v>
      </c>
      <c r="L52" s="58" t="b">
        <f>IF(Variecose!L52=Gaudicose!L52,TRUE,FALSE)</f>
        <v>1</v>
      </c>
      <c r="M52" s="58" t="b">
        <f>IF(Variecose!M52=Gaudicose!M52,TRUE,FALSE)</f>
        <v>1</v>
      </c>
      <c r="N52" s="58" t="b">
        <f>IF(Variecose!N52=Gaudicose!N52,TRUE,FALSE)</f>
        <v>1</v>
      </c>
      <c r="O52" s="58" t="b">
        <f>IF(Variecose!O52=Gaudicose!O52,TRUE,FALSE)</f>
        <v>1</v>
      </c>
      <c r="P52" s="58" t="b">
        <f>IF(Variecose!P52=Gaudicose!P52,TRUE,FALSE)</f>
        <v>1</v>
      </c>
      <c r="Q52" s="58" t="b">
        <f>IF(Variecose!Q52=Gaudicose!Q52,TRUE,FALSE)</f>
        <v>1</v>
      </c>
      <c r="R52" s="58" t="b">
        <f>IF(Variecose!R52=Gaudicose!R52,TRUE,FALSE)</f>
        <v>1</v>
      </c>
      <c r="S52" s="58" t="b">
        <f>IF(Variecose!S52=Gaudicose!S52,TRUE,FALSE)</f>
        <v>1</v>
      </c>
      <c r="T52" s="58" t="b">
        <f>IF(Variecose!T52=Gaudicose!T52,TRUE,FALSE)</f>
        <v>1</v>
      </c>
      <c r="U52" s="58" t="b">
        <f>IF(Variecose!U52=Gaudicose!U52,TRUE,FALSE)</f>
        <v>1</v>
      </c>
      <c r="V52" s="58" t="b">
        <f>IF(Variecose!V52=Gaudicose!V52,TRUE,FALSE)</f>
        <v>1</v>
      </c>
      <c r="W52" s="58" t="b">
        <f>IF(Variecose!W52=Gaudicose!W52,TRUE,FALSE)</f>
        <v>1</v>
      </c>
      <c r="X52" s="58" t="b">
        <f>IF(Variecose!X52=Gaudicose!X52,TRUE,FALSE)</f>
        <v>1</v>
      </c>
      <c r="Y52" s="58" t="b">
        <f>IF(Variecose!Y52=Gaudicose!Y52,TRUE,FALSE)</f>
        <v>1</v>
      </c>
    </row>
    <row r="53" spans="1:25" ht="15.75" customHeight="1" thickTop="1" x14ac:dyDescent="0.25">
      <c r="A53" s="121" t="s">
        <v>39</v>
      </c>
      <c r="B53" s="124" t="s">
        <v>35</v>
      </c>
      <c r="C53" s="125"/>
      <c r="D53" s="56" t="s">
        <v>52</v>
      </c>
      <c r="E53" s="57">
        <f>Variecose!E53-Gaudicose!E53</f>
        <v>1.3520895988716752E-5</v>
      </c>
      <c r="F53" s="56" t="s">
        <v>52</v>
      </c>
      <c r="G53" s="57">
        <f>Variecose!G53-Gaudicose!G53</f>
        <v>9.9702487078578983E-6</v>
      </c>
      <c r="H53" s="56" t="s">
        <v>52</v>
      </c>
      <c r="I53" s="57">
        <f>Variecose!I53-Gaudicose!I53</f>
        <v>-3.8792422321076714E-6</v>
      </c>
      <c r="J53" s="56" t="s">
        <v>52</v>
      </c>
      <c r="K53" s="57">
        <f>Variecose!K53-Gaudicose!K53</f>
        <v>2.5970927959001466E-5</v>
      </c>
      <c r="L53" s="56" t="s">
        <v>52</v>
      </c>
      <c r="M53" s="57">
        <f>Variecose!M53-Gaudicose!M53</f>
        <v>4.1695477552922133E-5</v>
      </c>
      <c r="N53" s="56" t="s">
        <v>52</v>
      </c>
      <c r="O53" s="57">
        <f>Variecose!O53-Gaudicose!O53</f>
        <v>-1.776496804062333E-5</v>
      </c>
      <c r="P53" s="56" t="s">
        <v>52</v>
      </c>
      <c r="Q53" s="57">
        <f>Variecose!Q53-Gaudicose!Q53</f>
        <v>-8.4087866331072902E-6</v>
      </c>
      <c r="R53" s="56" t="s">
        <v>52</v>
      </c>
      <c r="S53" s="57">
        <f>Variecose!S53-Gaudicose!S53</f>
        <v>-1.0918073137466955E-5</v>
      </c>
      <c r="T53" s="56" t="s">
        <v>52</v>
      </c>
      <c r="U53" s="57">
        <f>Variecose!U53-Gaudicose!U53</f>
        <v>-2.3926123973061486E-5</v>
      </c>
      <c r="V53" s="56" t="s">
        <v>52</v>
      </c>
      <c r="W53" s="57">
        <f>Variecose!W53-Gaudicose!W53</f>
        <v>1.6640023951408622E-5</v>
      </c>
      <c r="X53" s="56" t="s">
        <v>52</v>
      </c>
      <c r="Y53" s="57">
        <f>Variecose!Y53-Gaudicose!Y53</f>
        <v>4.6240061112867714E-6</v>
      </c>
    </row>
    <row r="54" spans="1:25" ht="15.75" thickBot="1" x14ac:dyDescent="0.3">
      <c r="A54" s="122"/>
      <c r="B54" s="126" t="s">
        <v>40</v>
      </c>
      <c r="C54" s="127"/>
      <c r="D54" s="58" t="b">
        <f>IF(Variecose!D54=Gaudicose!D54,TRUE,FALSE)</f>
        <v>1</v>
      </c>
      <c r="E54" s="58" t="b">
        <f>IF(Variecose!E54=Gaudicose!E54,TRUE,FALSE)</f>
        <v>1</v>
      </c>
      <c r="F54" s="58" t="b">
        <f>IF(Variecose!F54=Gaudicose!F54,TRUE,FALSE)</f>
        <v>1</v>
      </c>
      <c r="G54" s="58" t="b">
        <f>IF(Variecose!G54=Gaudicose!G54,TRUE,FALSE)</f>
        <v>1</v>
      </c>
      <c r="H54" s="58" t="b">
        <f>IF(Variecose!H54=Gaudicose!H54,TRUE,FALSE)</f>
        <v>0</v>
      </c>
      <c r="I54" s="58" t="b">
        <f>IF(Variecose!I54=Gaudicose!I54,TRUE,FALSE)</f>
        <v>1</v>
      </c>
      <c r="J54" s="58" t="b">
        <f>IF(Variecose!J54=Gaudicose!J54,TRUE,FALSE)</f>
        <v>1</v>
      </c>
      <c r="K54" s="58" t="b">
        <f>IF(Variecose!K54=Gaudicose!K54,TRUE,FALSE)</f>
        <v>1</v>
      </c>
      <c r="L54" s="58" t="b">
        <f>IF(Variecose!L54=Gaudicose!L54,TRUE,FALSE)</f>
        <v>1</v>
      </c>
      <c r="M54" s="58" t="b">
        <f>IF(Variecose!M54=Gaudicose!M54,TRUE,FALSE)</f>
        <v>1</v>
      </c>
      <c r="N54" s="58" t="b">
        <f>IF(Variecose!N54=Gaudicose!N54,TRUE,FALSE)</f>
        <v>1</v>
      </c>
      <c r="O54" s="58" t="b">
        <f>IF(Variecose!O54=Gaudicose!O54,TRUE,FALSE)</f>
        <v>1</v>
      </c>
      <c r="P54" s="58" t="b">
        <f>IF(Variecose!P54=Gaudicose!P54,TRUE,FALSE)</f>
        <v>1</v>
      </c>
      <c r="Q54" s="58" t="b">
        <f>IF(Variecose!Q54=Gaudicose!Q54,TRUE,FALSE)</f>
        <v>1</v>
      </c>
      <c r="R54" s="58" t="b">
        <f>IF(Variecose!R54=Gaudicose!R54,TRUE,FALSE)</f>
        <v>1</v>
      </c>
      <c r="S54" s="58" t="b">
        <f>IF(Variecose!S54=Gaudicose!S54,TRUE,FALSE)</f>
        <v>1</v>
      </c>
      <c r="T54" s="58" t="b">
        <f>IF(Variecose!T54=Gaudicose!T54,TRUE,FALSE)</f>
        <v>1</v>
      </c>
      <c r="U54" s="58" t="b">
        <f>IF(Variecose!U54=Gaudicose!U54,TRUE,FALSE)</f>
        <v>1</v>
      </c>
      <c r="V54" s="58" t="b">
        <f>IF(Variecose!V54=Gaudicose!V54,TRUE,FALSE)</f>
        <v>1</v>
      </c>
      <c r="W54" s="58" t="b">
        <f>IF(Variecose!W54=Gaudicose!W54,TRUE,FALSE)</f>
        <v>1</v>
      </c>
      <c r="X54" s="58" t="b">
        <f>IF(Variecose!X54=Gaudicose!X54,TRUE,FALSE)</f>
        <v>1</v>
      </c>
      <c r="Y54" s="58" t="b">
        <f>IF(Variecose!Y54=Gaudicose!Y54,TRUE,FALSE)</f>
        <v>1</v>
      </c>
    </row>
    <row r="55" spans="1:25" ht="15.75" thickTop="1" x14ac:dyDescent="0.25">
      <c r="A55" s="122"/>
      <c r="B55" s="128" t="s">
        <v>36</v>
      </c>
      <c r="C55" s="129"/>
      <c r="D55" s="56" t="s">
        <v>52</v>
      </c>
      <c r="E55" s="57">
        <f>Variecose!E55-Gaudicose!E55</f>
        <v>3.3093246918229034E-2</v>
      </c>
      <c r="F55" s="56" t="s">
        <v>52</v>
      </c>
      <c r="G55" s="57">
        <f>Variecose!G55-Gaudicose!G55</f>
        <v>9.0723874004106086E-5</v>
      </c>
      <c r="H55" s="56" t="s">
        <v>52</v>
      </c>
      <c r="I55" s="57">
        <f>Variecose!I55-Gaudicose!I55</f>
        <v>4.2752794764400193E-6</v>
      </c>
      <c r="J55" s="56" t="s">
        <v>52</v>
      </c>
      <c r="K55" s="57">
        <f>Variecose!K55-Gaudicose!K55</f>
        <v>-7.138687157226542E-5</v>
      </c>
      <c r="L55" s="56" t="s">
        <v>52</v>
      </c>
      <c r="M55" s="57">
        <f>Variecose!M55-Gaudicose!M55</f>
        <v>-3.36793323044704E-5</v>
      </c>
      <c r="N55" s="56" t="s">
        <v>52</v>
      </c>
      <c r="O55" s="57">
        <f>Variecose!O55-Gaudicose!O55</f>
        <v>3.5117138545493032E-2</v>
      </c>
      <c r="P55" s="56" t="s">
        <v>52</v>
      </c>
      <c r="Q55" s="57">
        <f>Variecose!Q55-Gaudicose!Q55</f>
        <v>2.0982938051109179E-2</v>
      </c>
      <c r="R55" s="56" t="s">
        <v>52</v>
      </c>
      <c r="S55" s="57">
        <f>Variecose!S55-Gaudicose!S55</f>
        <v>-1.810698205030381E-3</v>
      </c>
      <c r="T55" s="56" t="s">
        <v>52</v>
      </c>
      <c r="U55" s="57">
        <f>Variecose!U55-Gaudicose!U55</f>
        <v>2.1769242792638782E-2</v>
      </c>
      <c r="V55" s="56" t="s">
        <v>52</v>
      </c>
      <c r="W55" s="57">
        <f>Variecose!W55-Gaudicose!W55</f>
        <v>2.2262293544205725E-2</v>
      </c>
      <c r="X55" s="56" t="s">
        <v>52</v>
      </c>
      <c r="Y55" s="57">
        <f>Variecose!Y55-Gaudicose!Y55</f>
        <v>3.248950479576862E-2</v>
      </c>
    </row>
    <row r="56" spans="1:25" ht="15.75" thickBot="1" x14ac:dyDescent="0.3">
      <c r="A56" s="122"/>
      <c r="B56" s="126" t="s">
        <v>40</v>
      </c>
      <c r="C56" s="127"/>
      <c r="D56" s="58" t="b">
        <f>IF(Variecose!D56=Gaudicose!D56,TRUE,FALSE)</f>
        <v>0</v>
      </c>
      <c r="E56" s="58" t="b">
        <f>IF(Variecose!E56=Gaudicose!E56,TRUE,FALSE)</f>
        <v>0</v>
      </c>
      <c r="F56" s="58" t="b">
        <f>IF(Variecose!F56=Gaudicose!F56,TRUE,FALSE)</f>
        <v>1</v>
      </c>
      <c r="G56" s="58" t="b">
        <f>IF(Variecose!G56=Gaudicose!G56,TRUE,FALSE)</f>
        <v>1</v>
      </c>
      <c r="H56" s="58" t="b">
        <f>IF(Variecose!H56=Gaudicose!H56,TRUE,FALSE)</f>
        <v>1</v>
      </c>
      <c r="I56" s="58" t="b">
        <f>IF(Variecose!I56=Gaudicose!I56,TRUE,FALSE)</f>
        <v>1</v>
      </c>
      <c r="J56" s="58" t="b">
        <f>IF(Variecose!J56=Gaudicose!J56,TRUE,FALSE)</f>
        <v>1</v>
      </c>
      <c r="K56" s="58" t="b">
        <f>IF(Variecose!K56=Gaudicose!K56,TRUE,FALSE)</f>
        <v>1</v>
      </c>
      <c r="L56" s="58" t="b">
        <f>IF(Variecose!L56=Gaudicose!L56,TRUE,FALSE)</f>
        <v>1</v>
      </c>
      <c r="M56" s="58" t="b">
        <f>IF(Variecose!M56=Gaudicose!M56,TRUE,FALSE)</f>
        <v>1</v>
      </c>
      <c r="N56" s="58" t="b">
        <f>IF(Variecose!N56=Gaudicose!N56,TRUE,FALSE)</f>
        <v>0</v>
      </c>
      <c r="O56" s="58" t="b">
        <f>IF(Variecose!O56=Gaudicose!O56,TRUE,FALSE)</f>
        <v>0</v>
      </c>
      <c r="P56" s="58" t="b">
        <f>IF(Variecose!P56=Gaudicose!P56,TRUE,FALSE)</f>
        <v>0</v>
      </c>
      <c r="Q56" s="58" t="b">
        <f>IF(Variecose!Q56=Gaudicose!Q56,TRUE,FALSE)</f>
        <v>0</v>
      </c>
      <c r="R56" s="58" t="b">
        <f>IF(Variecose!R56=Gaudicose!R56,TRUE,FALSE)</f>
        <v>0</v>
      </c>
      <c r="S56" s="58" t="b">
        <f>IF(Variecose!S56=Gaudicose!S56,TRUE,FALSE)</f>
        <v>0</v>
      </c>
      <c r="T56" s="58" t="b">
        <f>IF(Variecose!T56=Gaudicose!T56,TRUE,FALSE)</f>
        <v>0</v>
      </c>
      <c r="U56" s="58" t="b">
        <f>IF(Variecose!U56=Gaudicose!U56,TRUE,FALSE)</f>
        <v>0</v>
      </c>
      <c r="V56" s="58" t="b">
        <f>IF(Variecose!V56=Gaudicose!V56,TRUE,FALSE)</f>
        <v>0</v>
      </c>
      <c r="W56" s="58" t="b">
        <f>IF(Variecose!W56=Gaudicose!W56,TRUE,FALSE)</f>
        <v>0</v>
      </c>
      <c r="X56" s="58" t="b">
        <f>IF(Variecose!X56=Gaudicose!X56,TRUE,FALSE)</f>
        <v>0</v>
      </c>
      <c r="Y56" s="58" t="b">
        <f>IF(Variecose!Y56=Gaudicose!Y56,TRUE,FALSE)</f>
        <v>0</v>
      </c>
    </row>
    <row r="57" spans="1:25" ht="15.75" thickTop="1" x14ac:dyDescent="0.25">
      <c r="A57" s="122"/>
      <c r="B57" s="130" t="s">
        <v>37</v>
      </c>
      <c r="C57" s="129"/>
      <c r="D57" s="56" t="s">
        <v>52</v>
      </c>
      <c r="E57" s="57">
        <f>Variecose!E57-Gaudicose!E57</f>
        <v>-1.5338106770768078E-4</v>
      </c>
      <c r="F57" s="56" t="s">
        <v>52</v>
      </c>
      <c r="G57" s="57">
        <f>Variecose!G57-Gaudicose!G57</f>
        <v>1.0317767836455993E-2</v>
      </c>
      <c r="H57" s="56" t="s">
        <v>52</v>
      </c>
      <c r="I57" s="57">
        <f>Variecose!I57-Gaudicose!I57</f>
        <v>1.4169085171567009E-4</v>
      </c>
      <c r="J57" s="56" t="s">
        <v>52</v>
      </c>
      <c r="K57" s="57">
        <f>Variecose!K57-Gaudicose!K57</f>
        <v>-1.2137081566965247E-4</v>
      </c>
      <c r="L57" s="56" t="s">
        <v>52</v>
      </c>
      <c r="M57" s="57">
        <f>Variecose!M57-Gaudicose!M57</f>
        <v>8.4719641860298012E-5</v>
      </c>
      <c r="N57" s="56" t="s">
        <v>52</v>
      </c>
      <c r="O57" s="57">
        <f>Variecose!O57-Gaudicose!O57</f>
        <v>1.3215722679753239E-2</v>
      </c>
      <c r="P57" s="56" t="s">
        <v>52</v>
      </c>
      <c r="Q57" s="57">
        <f>Variecose!Q57-Gaudicose!Q57</f>
        <v>1.8575565656621884E-2</v>
      </c>
      <c r="R57" s="56" t="s">
        <v>52</v>
      </c>
      <c r="S57" s="57">
        <f>Variecose!S57-Gaudicose!S57</f>
        <v>3.696862729318795E-5</v>
      </c>
      <c r="T57" s="56" t="s">
        <v>52</v>
      </c>
      <c r="U57" s="57">
        <f>Variecose!U57-Gaudicose!U57</f>
        <v>3.0463994136045724E-2</v>
      </c>
      <c r="V57" s="56" t="s">
        <v>52</v>
      </c>
      <c r="W57" s="57">
        <f>Variecose!W57-Gaudicose!W57</f>
        <v>2.8208009213183893E-2</v>
      </c>
      <c r="X57" s="56" t="s">
        <v>52</v>
      </c>
      <c r="Y57" s="57">
        <f>Variecose!Y57-Gaudicose!Y57</f>
        <v>1.1055036557716669E-4</v>
      </c>
    </row>
    <row r="58" spans="1:25" ht="15.75" thickBot="1" x14ac:dyDescent="0.3">
      <c r="A58" s="122"/>
      <c r="B58" s="131"/>
      <c r="C58" s="132"/>
      <c r="D58" s="58" t="b">
        <f>IF(Variecose!D58=Gaudicose!D58,TRUE,FALSE)</f>
        <v>0</v>
      </c>
      <c r="E58" s="58" t="b">
        <f>IF(Variecose!E58=Gaudicose!E58,TRUE,FALSE)</f>
        <v>0</v>
      </c>
      <c r="F58" s="58" t="b">
        <f>IF(Variecose!F58=Gaudicose!F58,TRUE,FALSE)</f>
        <v>0</v>
      </c>
      <c r="G58" s="58" t="b">
        <f>IF(Variecose!G58=Gaudicose!G58,TRUE,FALSE)</f>
        <v>0</v>
      </c>
      <c r="H58" s="58" t="b">
        <f>IF(Variecose!H58=Gaudicose!H58,TRUE,FALSE)</f>
        <v>0</v>
      </c>
      <c r="I58" s="58" t="b">
        <f>IF(Variecose!I58=Gaudicose!I58,TRUE,FALSE)</f>
        <v>0</v>
      </c>
      <c r="J58" s="58" t="b">
        <f>IF(Variecose!J58=Gaudicose!J58,TRUE,FALSE)</f>
        <v>0</v>
      </c>
      <c r="K58" s="58" t="b">
        <f>IF(Variecose!K58=Gaudicose!K58,TRUE,FALSE)</f>
        <v>0</v>
      </c>
      <c r="L58" s="58" t="b">
        <f>IF(Variecose!L58=Gaudicose!L58,TRUE,FALSE)</f>
        <v>0</v>
      </c>
      <c r="M58" s="58" t="b">
        <f>IF(Variecose!M58=Gaudicose!M58,TRUE,FALSE)</f>
        <v>0</v>
      </c>
      <c r="N58" s="58" t="b">
        <f>IF(Variecose!N58=Gaudicose!N58,TRUE,FALSE)</f>
        <v>0</v>
      </c>
      <c r="O58" s="58" t="b">
        <f>IF(Variecose!O58=Gaudicose!O58,TRUE,FALSE)</f>
        <v>0</v>
      </c>
      <c r="P58" s="58" t="b">
        <f>IF(Variecose!P58=Gaudicose!P58,TRUE,FALSE)</f>
        <v>0</v>
      </c>
      <c r="Q58" s="58" t="b">
        <f>IF(Variecose!Q58=Gaudicose!Q58,TRUE,FALSE)</f>
        <v>0</v>
      </c>
      <c r="R58" s="58" t="b">
        <f>IF(Variecose!R58=Gaudicose!R58,TRUE,FALSE)</f>
        <v>0</v>
      </c>
      <c r="S58" s="58" t="b">
        <f>IF(Variecose!S58=Gaudicose!S58,TRUE,FALSE)</f>
        <v>0</v>
      </c>
      <c r="T58" s="58" t="b">
        <f>IF(Variecose!T58=Gaudicose!T58,TRUE,FALSE)</f>
        <v>0</v>
      </c>
      <c r="U58" s="58" t="b">
        <f>IF(Variecose!U58=Gaudicose!U58,TRUE,FALSE)</f>
        <v>0</v>
      </c>
      <c r="V58" s="58" t="b">
        <f>IF(Variecose!V58=Gaudicose!V58,TRUE,FALSE)</f>
        <v>0</v>
      </c>
      <c r="W58" s="58" t="b">
        <f>IF(Variecose!W58=Gaudicose!W58,TRUE,FALSE)</f>
        <v>0</v>
      </c>
      <c r="X58" s="58" t="b">
        <f>IF(Variecose!X58=Gaudicose!X58,TRUE,FALSE)</f>
        <v>0</v>
      </c>
      <c r="Y58" s="58" t="b">
        <f>IF(Variecose!Y58=Gaudicose!Y58,TRUE,FALSE)</f>
        <v>0</v>
      </c>
    </row>
    <row r="59" spans="1:25" ht="15.75" thickTop="1" x14ac:dyDescent="0.25">
      <c r="A59" s="122"/>
      <c r="B59" s="130" t="s">
        <v>38</v>
      </c>
      <c r="C59" s="129"/>
      <c r="D59" s="56" t="s">
        <v>52</v>
      </c>
      <c r="E59" s="57">
        <f>Variecose!E59-Gaudicose!E59</f>
        <v>7.4349986810823276E-3</v>
      </c>
      <c r="F59" s="56" t="s">
        <v>52</v>
      </c>
      <c r="G59" s="57">
        <f>Variecose!G59-Gaudicose!G59</f>
        <v>1.8382117165647749E-2</v>
      </c>
      <c r="H59" s="56" t="s">
        <v>52</v>
      </c>
      <c r="I59" s="57">
        <f>Variecose!I59-Gaudicose!I59</f>
        <v>-3.3043910307296032E-3</v>
      </c>
      <c r="J59" s="56" t="s">
        <v>52</v>
      </c>
      <c r="K59" s="57">
        <f>Variecose!K59-Gaudicose!K59</f>
        <v>-2.0607686501198375E-3</v>
      </c>
      <c r="L59" s="56" t="s">
        <v>52</v>
      </c>
      <c r="M59" s="57">
        <f>Variecose!M59-Gaudicose!M59</f>
        <v>-7.8229458695703302E-3</v>
      </c>
      <c r="N59" s="56" t="s">
        <v>52</v>
      </c>
      <c r="O59" s="57">
        <f>Variecose!O59-Gaudicose!O59</f>
        <v>9.0683605715908833E-3</v>
      </c>
      <c r="P59" s="56" t="s">
        <v>52</v>
      </c>
      <c r="Q59" s="57">
        <f>Variecose!Q59-Gaudicose!Q59</f>
        <v>2.8766202082959158E-2</v>
      </c>
      <c r="R59" s="56" t="s">
        <v>52</v>
      </c>
      <c r="S59" s="57">
        <f>Variecose!S59-Gaudicose!S59</f>
        <v>2.8935687399249843E-2</v>
      </c>
      <c r="T59" s="56" t="s">
        <v>52</v>
      </c>
      <c r="U59" s="57">
        <f>Variecose!U59-Gaudicose!U59</f>
        <v>2.863062775927594E-2</v>
      </c>
      <c r="V59" s="56" t="s">
        <v>52</v>
      </c>
      <c r="W59" s="57">
        <f>Variecose!W59-Gaudicose!W59</f>
        <v>1.506536287534721E-3</v>
      </c>
      <c r="X59" s="56" t="s">
        <v>52</v>
      </c>
      <c r="Y59" s="57">
        <f>Variecose!Y59-Gaudicose!Y59</f>
        <v>1.2553774492591874E-3</v>
      </c>
    </row>
    <row r="60" spans="1:25" ht="15.75" thickBot="1" x14ac:dyDescent="0.3">
      <c r="A60" s="123"/>
      <c r="B60" s="133"/>
      <c r="C60" s="134"/>
      <c r="D60" s="58" t="b">
        <f>IF(Variecose!D60=Gaudicose!D60,TRUE,FALSE)</f>
        <v>0</v>
      </c>
      <c r="E60" s="58" t="b">
        <f>IF(Variecose!E60=Gaudicose!E60,TRUE,FALSE)</f>
        <v>0</v>
      </c>
      <c r="F60" s="58" t="b">
        <f>IF(Variecose!F60=Gaudicose!F60,TRUE,FALSE)</f>
        <v>0</v>
      </c>
      <c r="G60" s="58" t="b">
        <f>IF(Variecose!G60=Gaudicose!G60,TRUE,FALSE)</f>
        <v>0</v>
      </c>
      <c r="H60" s="58" t="b">
        <f>IF(Variecose!H60=Gaudicose!H60,TRUE,FALSE)</f>
        <v>0</v>
      </c>
      <c r="I60" s="58" t="b">
        <f>IF(Variecose!I60=Gaudicose!I60,TRUE,FALSE)</f>
        <v>0</v>
      </c>
      <c r="J60" s="58" t="b">
        <f>IF(Variecose!J60=Gaudicose!J60,TRUE,FALSE)</f>
        <v>0</v>
      </c>
      <c r="K60" s="58" t="b">
        <f>IF(Variecose!K60=Gaudicose!K60,TRUE,FALSE)</f>
        <v>0</v>
      </c>
      <c r="L60" s="58" t="b">
        <f>IF(Variecose!L60=Gaudicose!L60,TRUE,FALSE)</f>
        <v>0</v>
      </c>
      <c r="M60" s="58" t="b">
        <f>IF(Variecose!M60=Gaudicose!M60,TRUE,FALSE)</f>
        <v>0</v>
      </c>
      <c r="N60" s="58" t="b">
        <f>IF(Variecose!N60=Gaudicose!N60,TRUE,FALSE)</f>
        <v>0</v>
      </c>
      <c r="O60" s="58" t="b">
        <f>IF(Variecose!O60=Gaudicose!O60,TRUE,FALSE)</f>
        <v>0</v>
      </c>
      <c r="P60" s="58" t="b">
        <f>IF(Variecose!P60=Gaudicose!P60,TRUE,FALSE)</f>
        <v>0</v>
      </c>
      <c r="Q60" s="58" t="b">
        <f>IF(Variecose!Q60=Gaudicose!Q60,TRUE,FALSE)</f>
        <v>0</v>
      </c>
      <c r="R60" s="58" t="b">
        <f>IF(Variecose!R60=Gaudicose!R60,TRUE,FALSE)</f>
        <v>0</v>
      </c>
      <c r="S60" s="58" t="b">
        <f>IF(Variecose!S60=Gaudicose!S60,TRUE,FALSE)</f>
        <v>0</v>
      </c>
      <c r="T60" s="58" t="b">
        <f>IF(Variecose!T60=Gaudicose!T60,TRUE,FALSE)</f>
        <v>0</v>
      </c>
      <c r="U60" s="58" t="b">
        <f>IF(Variecose!U60=Gaudicose!U60,TRUE,FALSE)</f>
        <v>0</v>
      </c>
      <c r="V60" s="58" t="b">
        <f>IF(Variecose!V60=Gaudicose!V60,TRUE,FALSE)</f>
        <v>0</v>
      </c>
      <c r="W60" s="58" t="b">
        <f>IF(Variecose!W60=Gaudicose!W60,TRUE,FALSE)</f>
        <v>0</v>
      </c>
      <c r="X60" s="58" t="b">
        <f>IF(Variecose!X60=Gaudicose!X60,TRUE,FALSE)</f>
        <v>0</v>
      </c>
      <c r="Y60" s="58" t="b">
        <f>IF(Variecose!Y60=Gaudicose!Y60,TRUE,FALSE)</f>
        <v>0</v>
      </c>
    </row>
    <row r="61" spans="1:25" ht="15.75" thickTop="1" x14ac:dyDescent="0.25"/>
    <row r="95" ht="15.75" customHeight="1" x14ac:dyDescent="0.25"/>
    <row r="103" ht="15.75" customHeight="1" x14ac:dyDescent="0.25"/>
  </sheetData>
  <mergeCells count="257">
    <mergeCell ref="A53:A60"/>
    <mergeCell ref="B53:C53"/>
    <mergeCell ref="B54:C54"/>
    <mergeCell ref="B55:C55"/>
    <mergeCell ref="B56:C56"/>
    <mergeCell ref="B57:C58"/>
    <mergeCell ref="B59:C60"/>
    <mergeCell ref="X44:Y44"/>
    <mergeCell ref="A45:A52"/>
    <mergeCell ref="B45:C46"/>
    <mergeCell ref="B47:C48"/>
    <mergeCell ref="B49:C50"/>
    <mergeCell ref="B51:C52"/>
    <mergeCell ref="L44:M44"/>
    <mergeCell ref="N44:O44"/>
    <mergeCell ref="P44:Q44"/>
    <mergeCell ref="R44:S44"/>
    <mergeCell ref="T44:U44"/>
    <mergeCell ref="V44:W44"/>
    <mergeCell ref="A42:J42"/>
    <mergeCell ref="A44:C44"/>
    <mergeCell ref="D44:E44"/>
    <mergeCell ref="F44:G44"/>
    <mergeCell ref="H44:I44"/>
    <mergeCell ref="J44:K44"/>
    <mergeCell ref="N41:O41"/>
    <mergeCell ref="P41:Q41"/>
    <mergeCell ref="R41:S41"/>
    <mergeCell ref="T41:U41"/>
    <mergeCell ref="V41:W41"/>
    <mergeCell ref="X41:Y41"/>
    <mergeCell ref="A41:C41"/>
    <mergeCell ref="D41:E41"/>
    <mergeCell ref="F41:G41"/>
    <mergeCell ref="H41:I41"/>
    <mergeCell ref="J41:K41"/>
    <mergeCell ref="L41:M41"/>
    <mergeCell ref="N40:O40"/>
    <mergeCell ref="P40:Q40"/>
    <mergeCell ref="R40:S40"/>
    <mergeCell ref="T40:U40"/>
    <mergeCell ref="V40:W40"/>
    <mergeCell ref="X40:Y40"/>
    <mergeCell ref="A40:C40"/>
    <mergeCell ref="D40:E40"/>
    <mergeCell ref="F40:G40"/>
    <mergeCell ref="H40:I40"/>
    <mergeCell ref="J40:K40"/>
    <mergeCell ref="L40:M40"/>
    <mergeCell ref="A34:C34"/>
    <mergeCell ref="A35:C35"/>
    <mergeCell ref="A36:C36"/>
    <mergeCell ref="A37:C37"/>
    <mergeCell ref="A38:C38"/>
    <mergeCell ref="A39:C39"/>
    <mergeCell ref="D32:E32"/>
    <mergeCell ref="F32:G32"/>
    <mergeCell ref="H32:I32"/>
    <mergeCell ref="T32:U32"/>
    <mergeCell ref="V32:W32"/>
    <mergeCell ref="X32:Y32"/>
    <mergeCell ref="N31:O31"/>
    <mergeCell ref="P31:Q31"/>
    <mergeCell ref="R31:S31"/>
    <mergeCell ref="T31:U31"/>
    <mergeCell ref="V31:W31"/>
    <mergeCell ref="X31:Y31"/>
    <mergeCell ref="R30:S30"/>
    <mergeCell ref="T30:U30"/>
    <mergeCell ref="V30:W30"/>
    <mergeCell ref="X30:Y30"/>
    <mergeCell ref="A31:C31"/>
    <mergeCell ref="D31:E31"/>
    <mergeCell ref="F31:G31"/>
    <mergeCell ref="H31:I31"/>
    <mergeCell ref="J31:K31"/>
    <mergeCell ref="L31:M31"/>
    <mergeCell ref="V29:W29"/>
    <mergeCell ref="X29:Y29"/>
    <mergeCell ref="A30:C30"/>
    <mergeCell ref="D30:E30"/>
    <mergeCell ref="F30:G30"/>
    <mergeCell ref="H30:I30"/>
    <mergeCell ref="J30:K30"/>
    <mergeCell ref="L30:M30"/>
    <mergeCell ref="N30:O30"/>
    <mergeCell ref="P30:Q30"/>
    <mergeCell ref="A29:C29"/>
    <mergeCell ref="D29:E29"/>
    <mergeCell ref="F29:G29"/>
    <mergeCell ref="H29:I29"/>
    <mergeCell ref="R29:S29"/>
    <mergeCell ref="T29:U29"/>
    <mergeCell ref="N28:O28"/>
    <mergeCell ref="P28:Q28"/>
    <mergeCell ref="R28:S28"/>
    <mergeCell ref="T28:U28"/>
    <mergeCell ref="V28:W28"/>
    <mergeCell ref="X28:Y28"/>
    <mergeCell ref="A28:C28"/>
    <mergeCell ref="D28:E28"/>
    <mergeCell ref="F28:G28"/>
    <mergeCell ref="H28:I28"/>
    <mergeCell ref="J28:K28"/>
    <mergeCell ref="L28:M28"/>
    <mergeCell ref="T24:U24"/>
    <mergeCell ref="V24:W24"/>
    <mergeCell ref="X24:Y24"/>
    <mergeCell ref="A25:C25"/>
    <mergeCell ref="A26:C26"/>
    <mergeCell ref="A27:C27"/>
    <mergeCell ref="X23:Y23"/>
    <mergeCell ref="A24:C24"/>
    <mergeCell ref="D24:E24"/>
    <mergeCell ref="F24:G24"/>
    <mergeCell ref="H24:I24"/>
    <mergeCell ref="J24:K24"/>
    <mergeCell ref="L24:M24"/>
    <mergeCell ref="N24:O24"/>
    <mergeCell ref="P24:Q24"/>
    <mergeCell ref="R24:S24"/>
    <mergeCell ref="L23:M23"/>
    <mergeCell ref="N23:O23"/>
    <mergeCell ref="P23:Q23"/>
    <mergeCell ref="R23:S23"/>
    <mergeCell ref="T23:U23"/>
    <mergeCell ref="V23:W23"/>
    <mergeCell ref="T19:U19"/>
    <mergeCell ref="V19:W19"/>
    <mergeCell ref="X19:Y19"/>
    <mergeCell ref="A20:C20"/>
    <mergeCell ref="A21:J21"/>
    <mergeCell ref="A23:C23"/>
    <mergeCell ref="D23:E23"/>
    <mergeCell ref="F23:G23"/>
    <mergeCell ref="H23:I23"/>
    <mergeCell ref="J23:K23"/>
    <mergeCell ref="X18:Y18"/>
    <mergeCell ref="A19:C19"/>
    <mergeCell ref="D19:E19"/>
    <mergeCell ref="F19:G19"/>
    <mergeCell ref="H19:I19"/>
    <mergeCell ref="J19:K19"/>
    <mergeCell ref="L19:M19"/>
    <mergeCell ref="N19:O19"/>
    <mergeCell ref="P19:Q19"/>
    <mergeCell ref="R19:S19"/>
    <mergeCell ref="L18:M18"/>
    <mergeCell ref="N18:O18"/>
    <mergeCell ref="P18:Q18"/>
    <mergeCell ref="R18:S18"/>
    <mergeCell ref="T18:U18"/>
    <mergeCell ref="V18:W18"/>
    <mergeCell ref="P17:Q17"/>
    <mergeCell ref="R17:S17"/>
    <mergeCell ref="T17:U17"/>
    <mergeCell ref="V17:W17"/>
    <mergeCell ref="X17:Y17"/>
    <mergeCell ref="A18:C18"/>
    <mergeCell ref="D18:E18"/>
    <mergeCell ref="F18:G18"/>
    <mergeCell ref="H18:I18"/>
    <mergeCell ref="J18:K18"/>
    <mergeCell ref="D17:E17"/>
    <mergeCell ref="F17:G17"/>
    <mergeCell ref="H17:I17"/>
    <mergeCell ref="J17:K17"/>
    <mergeCell ref="L17:M17"/>
    <mergeCell ref="N17:O17"/>
    <mergeCell ref="N16:O16"/>
    <mergeCell ref="P16:Q16"/>
    <mergeCell ref="R16:S16"/>
    <mergeCell ref="T16:U16"/>
    <mergeCell ref="V16:W16"/>
    <mergeCell ref="X16:Y16"/>
    <mergeCell ref="A16:C16"/>
    <mergeCell ref="D16:E16"/>
    <mergeCell ref="F16:G16"/>
    <mergeCell ref="H16:I16"/>
    <mergeCell ref="J16:K16"/>
    <mergeCell ref="L16:M16"/>
    <mergeCell ref="N15:O15"/>
    <mergeCell ref="P15:Q15"/>
    <mergeCell ref="R15:S15"/>
    <mergeCell ref="T15:U15"/>
    <mergeCell ref="V15:W15"/>
    <mergeCell ref="X15:Y15"/>
    <mergeCell ref="A15:C15"/>
    <mergeCell ref="D15:E15"/>
    <mergeCell ref="F15:G15"/>
    <mergeCell ref="H15:I15"/>
    <mergeCell ref="J15:K15"/>
    <mergeCell ref="L15:M15"/>
    <mergeCell ref="N14:O14"/>
    <mergeCell ref="P14:Q14"/>
    <mergeCell ref="R14:S14"/>
    <mergeCell ref="T14:U14"/>
    <mergeCell ref="V14:W14"/>
    <mergeCell ref="X14:Y14"/>
    <mergeCell ref="T12:U12"/>
    <mergeCell ref="V12:W12"/>
    <mergeCell ref="X12:Y12"/>
    <mergeCell ref="A13:C13"/>
    <mergeCell ref="A14:C14"/>
    <mergeCell ref="D14:E14"/>
    <mergeCell ref="F14:G14"/>
    <mergeCell ref="H14:I14"/>
    <mergeCell ref="J14:K14"/>
    <mergeCell ref="L14:M14"/>
    <mergeCell ref="X11:Y11"/>
    <mergeCell ref="A12:C12"/>
    <mergeCell ref="D12:E12"/>
    <mergeCell ref="F12:G12"/>
    <mergeCell ref="H12:I12"/>
    <mergeCell ref="J12:K12"/>
    <mergeCell ref="L12:M12"/>
    <mergeCell ref="N12:O12"/>
    <mergeCell ref="P12:Q12"/>
    <mergeCell ref="R12:S12"/>
    <mergeCell ref="L11:M11"/>
    <mergeCell ref="N11:O11"/>
    <mergeCell ref="P11:Q11"/>
    <mergeCell ref="R11:S11"/>
    <mergeCell ref="T11:U11"/>
    <mergeCell ref="V11:W11"/>
    <mergeCell ref="T8:U8"/>
    <mergeCell ref="V8:W8"/>
    <mergeCell ref="X8:Y8"/>
    <mergeCell ref="A9:C9"/>
    <mergeCell ref="A10:C10"/>
    <mergeCell ref="A11:C11"/>
    <mergeCell ref="D11:E11"/>
    <mergeCell ref="F11:G11"/>
    <mergeCell ref="H11:I11"/>
    <mergeCell ref="J11:K11"/>
    <mergeCell ref="X7:Y7"/>
    <mergeCell ref="A8:C8"/>
    <mergeCell ref="D8:E8"/>
    <mergeCell ref="F8:G8"/>
    <mergeCell ref="H8:I8"/>
    <mergeCell ref="J8:K8"/>
    <mergeCell ref="L8:M8"/>
    <mergeCell ref="N8:O8"/>
    <mergeCell ref="P8:Q8"/>
    <mergeCell ref="R8:S8"/>
    <mergeCell ref="L7:M7"/>
    <mergeCell ref="N7:O7"/>
    <mergeCell ref="P7:Q7"/>
    <mergeCell ref="R7:S7"/>
    <mergeCell ref="T7:U7"/>
    <mergeCell ref="V7:W7"/>
    <mergeCell ref="B1:E1"/>
    <mergeCell ref="B2:E2"/>
    <mergeCell ref="D7:E7"/>
    <mergeCell ref="F7:G7"/>
    <mergeCell ref="H7:I7"/>
    <mergeCell ref="J7:K7"/>
  </mergeCells>
  <conditionalFormatting sqref="D7:W7">
    <cfRule type="containsText" dxfId="34" priority="28" operator="containsText" text="Pila">
      <formula>NOT(ISERROR(SEARCH("Pila",D7)))</formula>
    </cfRule>
    <cfRule type="containsText" dxfId="33" priority="29" operator="containsText" text="Spalla">
      <formula>NOT(ISERROR(SEARCH("Spalla",D7)))</formula>
    </cfRule>
  </conditionalFormatting>
  <conditionalFormatting sqref="D9:Y9">
    <cfRule type="cellIs" dxfId="32" priority="27" operator="equal">
      <formula>"B"</formula>
    </cfRule>
  </conditionalFormatting>
  <conditionalFormatting sqref="X7:Y7">
    <cfRule type="containsText" dxfId="31" priority="25" operator="containsText" text="Pila">
      <formula>NOT(ISERROR(SEARCH("Pila",X7)))</formula>
    </cfRule>
    <cfRule type="containsText" dxfId="30" priority="26" operator="containsText" text="Spalla">
      <formula>NOT(ISERROR(SEARCH("Spalla",X7)))</formula>
    </cfRule>
  </conditionalFormatting>
  <conditionalFormatting sqref="D7:E7">
    <cfRule type="containsText" dxfId="29" priority="23" operator="containsText" text="Pila">
      <formula>NOT(ISERROR(SEARCH("Pila",D7)))</formula>
    </cfRule>
    <cfRule type="containsText" dxfId="28" priority="24" operator="containsText" text="Spalla">
      <formula>NOT(ISERROR(SEARCH("Spalla",D7)))</formula>
    </cfRule>
  </conditionalFormatting>
  <conditionalFormatting sqref="A39:C39">
    <cfRule type="cellIs" dxfId="27" priority="22" operator="equal">
      <formula>"F"</formula>
    </cfRule>
  </conditionalFormatting>
  <conditionalFormatting sqref="A34:C38">
    <cfRule type="cellIs" dxfId="26" priority="21" operator="between">
      <formula>41</formula>
      <formula>81</formula>
    </cfRule>
  </conditionalFormatting>
  <conditionalFormatting sqref="A59 A57 A45:Y45 A47:Y47 A49:Y49 A51:Y51 A53:Y53 A55:Y55 D57:Y57 D59:Y59">
    <cfRule type="containsText" dxfId="25" priority="20" operator="containsText" text="err">
      <formula>NOT(ISERROR(SEARCH("err",A45)))</formula>
    </cfRule>
  </conditionalFormatting>
  <conditionalFormatting sqref="B59:C59 B57:C57">
    <cfRule type="containsText" dxfId="24" priority="14" operator="containsText" text="err">
      <formula>NOT(ISERROR(SEARCH("err",B57)))</formula>
    </cfRule>
  </conditionalFormatting>
  <conditionalFormatting sqref="D39:E39">
    <cfRule type="cellIs" dxfId="23" priority="7" operator="equal">
      <formula>"F"</formula>
    </cfRule>
  </conditionalFormatting>
  <conditionalFormatting sqref="F39:Y39">
    <cfRule type="cellIs" dxfId="22" priority="6" operator="equal">
      <formula>"F"</formula>
    </cfRule>
  </conditionalFormatting>
  <conditionalFormatting sqref="D34:Y38">
    <cfRule type="cellIs" dxfId="21" priority="5" operator="between">
      <formula>41</formula>
      <formula>81</formula>
    </cfRule>
  </conditionalFormatting>
  <conditionalFormatting sqref="E45 E47 E49 E51 E53 E55 E57 E59 G45 I45 K45 M45 O45 Q45 S45 U45 W45 Y45 G47 I47 K47 M47 O47 Q47 S47 U47 W47 Y47 G49 I49 K49 M49 O49 Q49 S49 U49 W49 Y49 G51 I51 K51 M51 O51 Q51 S51 U51 W51 Y51 G53 I53 K53 M53 O53 Q53 S53 U53 W53 Y53 G55 I55 K55 M55 O55 Q55 S55 U55 W55 Y55 G57 I57 K57 M57 O57 Q57 S57 U57 W57 Y57 G59 I59 K59 M59 O59 Q59 S59 U59 W59 Y59">
    <cfRule type="cellIs" dxfId="20" priority="4" operator="greaterThan">
      <formula>0.01</formula>
    </cfRule>
    <cfRule type="cellIs" dxfId="19" priority="3" operator="lessThan">
      <formula>0.01</formula>
    </cfRule>
  </conditionalFormatting>
  <conditionalFormatting sqref="D46:Y46 D48:Y48 D50:Y50 D52:Y52 D54:Y54 D56:Y56 D58:Y58 D60:Y60">
    <cfRule type="cellIs" dxfId="0" priority="2" operator="equal">
      <formula>FALSE</formula>
    </cfRule>
    <cfRule type="cellIs" dxfId="1" priority="1" operator="equal">
      <formula>TRUE</formula>
    </cfRule>
  </conditionalFormatting>
  <pageMargins left="0.7" right="0.7" top="0.75" bottom="0.75" header="0.3" footer="0.3"/>
  <pageSetup paperSize="8" scale="74"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3</vt:i4>
      </vt:variant>
    </vt:vector>
  </HeadingPairs>
  <TitlesOfParts>
    <vt:vector size="3" baseType="lpstr">
      <vt:lpstr>Variecose</vt:lpstr>
      <vt:lpstr>Gaudicose</vt:lpstr>
      <vt:lpstr>Delta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Marco Creatini</dc:creator>
  <cp:lastModifiedBy>Marco Creatini</cp:lastModifiedBy>
  <cp:lastPrinted>2023-07-21T09:46:12Z</cp:lastPrinted>
  <dcterms:created xsi:type="dcterms:W3CDTF">2023-05-15T15:23:24Z</dcterms:created>
  <dcterms:modified xsi:type="dcterms:W3CDTF">2023-07-25T15:43:57Z</dcterms:modified>
</cp:coreProperties>
</file>